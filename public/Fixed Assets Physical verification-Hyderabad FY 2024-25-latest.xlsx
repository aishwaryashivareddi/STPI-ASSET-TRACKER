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0" yWindow="0" windowWidth="14550" windowHeight="9015" tabRatio="815" activeTab="2"/>
  </bookViews>
  <sheets>
    <sheet name="First page" sheetId="13" r:id="rId1"/>
    <sheet name="Consolidated" sheetId="9" r:id="rId2"/>
    <sheet name="Building" sheetId="8" r:id="rId3"/>
    <sheet name="HSDC-Equipments" sheetId="5" r:id="rId4"/>
    <sheet name="Computers-peripherals" sheetId="1" r:id="rId5"/>
    <sheet name="Electrical-Equipments" sheetId="3" r:id="rId6"/>
    <sheet name="Office Equipments" sheetId="10" r:id="rId7"/>
    <sheet name="Furnitures-Fixtures-Misc" sheetId="2" r:id="rId8"/>
    <sheet name="Fire-Fighting" sheetId="7" r:id="rId9"/>
    <sheet name="not working  obsolute  " sheetId="12" r:id="rId10"/>
    <sheet name="Identified Obsolete 2025" sheetId="15" r:id="rId11"/>
  </sheets>
  <definedNames>
    <definedName name="_xlnm._FilterDatabase" localSheetId="4" hidden="1">'Computers-peripherals'!$J$1:$J$157</definedName>
    <definedName name="_xlnm._FilterDatabase" localSheetId="5" hidden="1">'Electrical-Equipments'!$J$1:$J$176</definedName>
    <definedName name="_xlnm._FilterDatabase" localSheetId="7" hidden="1">'Furnitures-Fixtures-Misc'!$C$1:$C$176</definedName>
    <definedName name="_xlnm._FilterDatabase" localSheetId="3" hidden="1">'HSDC-Equipments'!$J$1:$J$121</definedName>
    <definedName name="_xlnm._FilterDatabase" localSheetId="9" hidden="1">'not working  obsolute  '!$J$1:$J$78</definedName>
    <definedName name="_xlnm._FilterDatabase" localSheetId="6" hidden="1">'Office Equipments'!$J$1:$J$52</definedName>
    <definedName name="_xlnm.Print_Area" localSheetId="2">Building!$B$1:$H$12</definedName>
    <definedName name="_xlnm.Print_Area" localSheetId="4">'Computers-peripherals'!$A$1:$Q$154</definedName>
    <definedName name="_xlnm.Print_Area" localSheetId="1">Consolidated!$A$1:$G$28</definedName>
    <definedName name="_xlnm.Print_Area" localSheetId="0">'First page'!$A$1:$Q$18</definedName>
    <definedName name="_xlnm.Print_Area" localSheetId="7">'Furnitures-Fixtures-Misc'!$A$1:$R$176</definedName>
    <definedName name="_xlnm.Print_Area" localSheetId="3">'HSDC-Equipments'!$A$1:$Q$120</definedName>
    <definedName name="_xlnm.Print_Area" localSheetId="10">'Identified Obsolete 2025'!$A$1:$H$47</definedName>
    <definedName name="_xlnm.Print_Area" localSheetId="9">'not working  obsolute  '!$A$1:$Q$77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76" i="2" l="1"/>
  <c r="E47" i="15" l="1"/>
  <c r="D47" i="15"/>
  <c r="H176" i="3" l="1"/>
  <c r="H120" i="5" l="1"/>
  <c r="E22" i="9" l="1"/>
  <c r="F22" i="9"/>
  <c r="H8" i="8" l="1"/>
  <c r="G22" i="7" l="1"/>
  <c r="H175" i="2"/>
  <c r="H52" i="10"/>
  <c r="H154" i="1"/>
  <c r="D120" i="5"/>
  <c r="I154" i="1"/>
  <c r="D154" i="1"/>
  <c r="D175" i="2" l="1"/>
  <c r="D176" i="3"/>
  <c r="D52" i="10" l="1"/>
  <c r="I52" i="10"/>
  <c r="I175" i="2" l="1"/>
  <c r="I176" i="3"/>
  <c r="I120" i="5"/>
  <c r="H56" i="2" l="1"/>
  <c r="H141" i="2"/>
  <c r="I77" i="12"/>
  <c r="D77" i="12"/>
  <c r="H176" i="2" l="1"/>
  <c r="I56" i="2"/>
  <c r="D56" i="2"/>
  <c r="C22" i="7" l="1"/>
  <c r="H22" i="7"/>
  <c r="D141" i="2"/>
  <c r="I141" i="2"/>
</calcChain>
</file>

<file path=xl/comments1.xml><?xml version="1.0" encoding="utf-8"?>
<comments xmlns="http://schemas.openxmlformats.org/spreadsheetml/2006/main">
  <authors>
    <author>Author</author>
  </authors>
  <commentList>
    <comment ref="J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Viswa Sai</t>
        </r>
      </text>
    </comment>
  </commentList>
</comments>
</file>

<file path=xl/sharedStrings.xml><?xml version="1.0" encoding="utf-8"?>
<sst xmlns="http://schemas.openxmlformats.org/spreadsheetml/2006/main" count="5681" uniqueCount="2347">
  <si>
    <t>S.No.</t>
  </si>
  <si>
    <t>Name of the Equipment</t>
  </si>
  <si>
    <t>QTY</t>
  </si>
  <si>
    <t>Name of the Supplier</t>
  </si>
  <si>
    <t>Invoice No/Date</t>
  </si>
  <si>
    <t>Purchase Value</t>
  </si>
  <si>
    <t>Book Stock</t>
  </si>
  <si>
    <t>Physically available in stock</t>
  </si>
  <si>
    <t>Difference</t>
  </si>
  <si>
    <t>Hyderabad</t>
  </si>
  <si>
    <t>Purchase Order No. Date</t>
  </si>
  <si>
    <t>Qty</t>
  </si>
  <si>
    <t>Sl.no.</t>
  </si>
  <si>
    <t>Name of the Item</t>
  </si>
  <si>
    <t>Purchase Order No.</t>
  </si>
  <si>
    <t>Invoice No./Date</t>
  </si>
  <si>
    <t>Purchase Value in Rs.</t>
  </si>
  <si>
    <t>Particulars</t>
  </si>
  <si>
    <t>Electrical Equipment</t>
  </si>
  <si>
    <t>Fire Fighting Equipment</t>
  </si>
  <si>
    <t>Furniture &amp; Fixtures</t>
  </si>
  <si>
    <t>HSDC Equipment</t>
  </si>
  <si>
    <t>Office Equipment</t>
  </si>
  <si>
    <t>Sophos X2100</t>
  </si>
  <si>
    <t>Trace Network &amp; engineering Pvt Ltd</t>
  </si>
  <si>
    <t>Wi-Jungle U500EX Firewall</t>
  </si>
  <si>
    <t xml:space="preserve">QSAN Nas Storage </t>
  </si>
  <si>
    <t>Contract No: GEMC-511687750587278
22-06-2023</t>
  </si>
  <si>
    <t>Istorage India Pvt Ltd</t>
  </si>
  <si>
    <t>Netgear Ready NAS 316-RN31600</t>
  </si>
  <si>
    <t>Po No 41, Dt - 19-11-2013</t>
  </si>
  <si>
    <t>Sara Infoway Pvt Ltd</t>
  </si>
  <si>
    <t>Fusionstor invento i6000</t>
  </si>
  <si>
    <t>Contract No - GEMC-511687724722045
17-01-2020</t>
  </si>
  <si>
    <t>Mega Networks Pvt Ltd</t>
  </si>
  <si>
    <t>HP DL 380e Server</t>
  </si>
  <si>
    <t>Po No 16 Dt- 19-06-2014</t>
  </si>
  <si>
    <t>National Infomatics center</t>
  </si>
  <si>
    <t>HP server 580R07CT0</t>
  </si>
  <si>
    <t>Po No 66 Dt-  02-01-2011</t>
  </si>
  <si>
    <t>Progressive Infotech</t>
  </si>
  <si>
    <t>Po No 66 Dt- 17-06-2011</t>
  </si>
  <si>
    <t xml:space="preserve"> Acer S2670G Desktop</t>
  </si>
  <si>
    <t>Po No.76 Dt - 18-03-2021</t>
  </si>
  <si>
    <t>JMD Enterprises</t>
  </si>
  <si>
    <t>HLBS CM44 Desktop</t>
  </si>
  <si>
    <t>Contract No - GEMC-511687748821263
14-02-2023</t>
  </si>
  <si>
    <t>HLBS Tech Pvt.Ltd</t>
  </si>
  <si>
    <t>Lenovo V520 PC</t>
  </si>
  <si>
    <t>Po No -59, Dt- 22-11-2017</t>
  </si>
  <si>
    <t>Aditya Infotech Pvt.Ltd</t>
  </si>
  <si>
    <t>Dell Workstation</t>
  </si>
  <si>
    <t>TSIIC  Provided</t>
  </si>
  <si>
    <t>Po No 21  Dt 08-02-2011</t>
  </si>
  <si>
    <t>Kendriya Bhandar</t>
  </si>
  <si>
    <t>HP LaserJet 1020 Plus</t>
  </si>
  <si>
    <t>Po No 55 Dt 23-07-2007</t>
  </si>
  <si>
    <t>Pan Infotech</t>
  </si>
  <si>
    <t>Po No 02 Dt 04-09-2014</t>
  </si>
  <si>
    <t>Po No 41 Dt 25-01-2016</t>
  </si>
  <si>
    <t>Prenex System</t>
  </si>
  <si>
    <t>Po No 55 Dt- 18-01-2017</t>
  </si>
  <si>
    <t>P.L Computers</t>
  </si>
  <si>
    <t>HP LaserJet Pro M202dw</t>
  </si>
  <si>
    <t>Gazo Document Solution Pvt.Ltd</t>
  </si>
  <si>
    <t>Lexmark Mx421</t>
  </si>
  <si>
    <t>Po No 69  Dt 12-10-2019</t>
  </si>
  <si>
    <t>Sai Baba Business Machines Pvt Ltd</t>
  </si>
  <si>
    <t>Po No 55 Dt 27-11-2020</t>
  </si>
  <si>
    <t xml:space="preserve">Canon mf 269 </t>
  </si>
  <si>
    <t>Po No 84 Dt-11-02-2020</t>
  </si>
  <si>
    <t>Laser Systems Pvt.Ltd</t>
  </si>
  <si>
    <t>HP Laserjet Pro 400 M425DN</t>
  </si>
  <si>
    <t>Po No 01  Dt  04-04-2016</t>
  </si>
  <si>
    <t>HP Laserjet Pro M427 FDW</t>
  </si>
  <si>
    <t>Po No 22 Dt- 06-29-2016</t>
  </si>
  <si>
    <t>Po No 50  Dt- 27-12-2016</t>
  </si>
  <si>
    <t>Creative Services</t>
  </si>
  <si>
    <t>HP Laserjet M126NW</t>
  </si>
  <si>
    <t>Po No 57 Dt  10-08-2018</t>
  </si>
  <si>
    <t>Mangal Trading Company</t>
  </si>
  <si>
    <t>HP Multifunction Printer1218nfs</t>
  </si>
  <si>
    <t>Po No 05 Dt  04-21-2014</t>
  </si>
  <si>
    <t>Koycera Ecosys M2040dn</t>
  </si>
  <si>
    <t>Computer India</t>
  </si>
  <si>
    <t>GEMC.No-511687782229213
Dt 28-06-2022</t>
  </si>
  <si>
    <t>Moksha Enterprises</t>
  </si>
  <si>
    <t>HP CP 1025 NW Color Printer</t>
  </si>
  <si>
    <t>Po No 04 Dt 21-04-2014</t>
  </si>
  <si>
    <t>Epson LW 900P Label Printer</t>
  </si>
  <si>
    <t>Po N0  29-06-2016</t>
  </si>
  <si>
    <t>Avision network scanner</t>
  </si>
  <si>
    <t>Po No 13 Dt  07-06-2020</t>
  </si>
  <si>
    <t>Vishal Sharma</t>
  </si>
  <si>
    <t>Avision AD120 Document Scanner</t>
  </si>
  <si>
    <t>Gem Contract. No-511687794544962 
Dt  10-12-2023</t>
  </si>
  <si>
    <t>NISARGA INFORMATION TECHNOLOGY SOLUTIONS PRIVATE LIMITED</t>
  </si>
  <si>
    <t>Polycom Realpresence Group 500 Video Conference system</t>
  </si>
  <si>
    <t>Po No 44 Dt- 11-02-2016</t>
  </si>
  <si>
    <t>DGS&amp;D</t>
  </si>
  <si>
    <t>Polycom Realpresence Group 300 Video Conference system</t>
  </si>
  <si>
    <t>TSIIC  01-08-2016</t>
  </si>
  <si>
    <t>TSIIC</t>
  </si>
  <si>
    <t>LG 65" LED Display System</t>
  </si>
  <si>
    <t>Po No No 51 dt.03-01-2016</t>
  </si>
  <si>
    <t>Samsung 65 inch</t>
  </si>
  <si>
    <t>Samsung 55 inch</t>
  </si>
  <si>
    <t>TS2223-INV085
Dt.14-07-2022</t>
  </si>
  <si>
    <t>Invoice.No.2908221715
Dt. 20-09-2022</t>
  </si>
  <si>
    <t>ISIPL016/2023-24
Dt.21/07/2023</t>
  </si>
  <si>
    <t>SARA/AP264/13-14
Dt.13-12-2013</t>
  </si>
  <si>
    <t xml:space="preserve"> MNPL/634/19-20
Dt. 06-02-2020</t>
  </si>
  <si>
    <t>1305
Dt.08-12-2014</t>
  </si>
  <si>
    <t>BLRPI/000013/11-12
29-04-2011</t>
  </si>
  <si>
    <t>BLRPI/000013/11-12
17-06-2011</t>
  </si>
  <si>
    <t>JMD/2021-22/008
Dt. 06-05-2021</t>
  </si>
  <si>
    <t>680
Dt. 11-03-2023</t>
  </si>
  <si>
    <t>3779
Dt. 01-12-2017</t>
  </si>
  <si>
    <t>1755
Dt. 24-08-2011</t>
  </si>
  <si>
    <t>V/2142
27-07-2007</t>
  </si>
  <si>
    <t>124
Dt.12-04-2014</t>
  </si>
  <si>
    <t>Dt. 02-02-2016</t>
  </si>
  <si>
    <t>0012610
Dt. 20-01-2017</t>
  </si>
  <si>
    <t>GDSPL21220025
Dt. 31-12-2021</t>
  </si>
  <si>
    <t>2065
30-12-2019</t>
  </si>
  <si>
    <t>1309
27-11-2020</t>
  </si>
  <si>
    <t>LSLHYD/3397/1920
Dt. 24-02-2020</t>
  </si>
  <si>
    <t>01
Dt. 05-04-2016</t>
  </si>
  <si>
    <t>73
01-07-2016</t>
  </si>
  <si>
    <t>614
Dt.07-02-2017</t>
  </si>
  <si>
    <t>Dt. 03-12-2018</t>
  </si>
  <si>
    <t>24
Dt. 18-07-2022</t>
  </si>
  <si>
    <t>1174
Dt.02-07-2014</t>
  </si>
  <si>
    <t>AV/20-21/0060
06-07-2020</t>
  </si>
  <si>
    <t>SI/IE/MH/1516-03/045
Dt. 17-03-2016</t>
  </si>
  <si>
    <t>Dt. 13-11-2017</t>
  </si>
  <si>
    <t>244
Dt. 30-05-2016</t>
  </si>
  <si>
    <t>X21006KY2GQW98E</t>
  </si>
  <si>
    <t>W1723U500EXDI2008302</t>
  </si>
  <si>
    <t>XN236Q00135</t>
  </si>
  <si>
    <t>XN236Q00136</t>
  </si>
  <si>
    <t>3C623500009A0</t>
  </si>
  <si>
    <t>MR598806022020-3</t>
  </si>
  <si>
    <t>MR598706022020-3</t>
  </si>
  <si>
    <t>SGH444YP38</t>
  </si>
  <si>
    <t>SGH444YP3A</t>
  </si>
  <si>
    <t>SGH111X63N</t>
  </si>
  <si>
    <t>SGH111X63P</t>
  </si>
  <si>
    <t>UXBETSI356L1717824</t>
  </si>
  <si>
    <t>UXBETSI356L1717773</t>
  </si>
  <si>
    <t>UXBETSI356L1717848</t>
  </si>
  <si>
    <t>UXBETSI356L1717830</t>
  </si>
  <si>
    <t>UXBETSI356L1717875</t>
  </si>
  <si>
    <t>UXBETSI356L1717792</t>
  </si>
  <si>
    <t>UXBETSI356L1717784</t>
  </si>
  <si>
    <t>UXBETSI356L1717857</t>
  </si>
  <si>
    <t>UXBETSI356L1717829</t>
  </si>
  <si>
    <t>UXBETSI356L1717775</t>
  </si>
  <si>
    <t>UXBETSI356L1717882</t>
  </si>
  <si>
    <t>UXBETSI356L1717838</t>
  </si>
  <si>
    <t>UXBETSI356L1717867</t>
  </si>
  <si>
    <t>UXBETSI356L1717752</t>
  </si>
  <si>
    <t>UXBETSI356L1717823</t>
  </si>
  <si>
    <t>04H03L2023B39427</t>
  </si>
  <si>
    <t>04H03L2023B39429</t>
  </si>
  <si>
    <t>04H03L2023B39437</t>
  </si>
  <si>
    <t>04H03L2023B39430</t>
  </si>
  <si>
    <t>04H03L2023B39439</t>
  </si>
  <si>
    <t>04H03L2023B39433</t>
  </si>
  <si>
    <t>04H03L2023B39431</t>
  </si>
  <si>
    <t>04H03L2023B39424</t>
  </si>
  <si>
    <t>04H03L2023B39436</t>
  </si>
  <si>
    <t>04H03L2023B39425</t>
  </si>
  <si>
    <t>04H03L2023B39432</t>
  </si>
  <si>
    <t>04H03L2023B39428</t>
  </si>
  <si>
    <t>PG012LL9</t>
  </si>
  <si>
    <t>PG012M2T</t>
  </si>
  <si>
    <t>PG012M4R</t>
  </si>
  <si>
    <t>PG012LZW</t>
  </si>
  <si>
    <t>PG012M2M</t>
  </si>
  <si>
    <t>PG012M41</t>
  </si>
  <si>
    <t>PG012LLP</t>
  </si>
  <si>
    <t>PG012LZH</t>
  </si>
  <si>
    <t>PG012M2K</t>
  </si>
  <si>
    <t>PG012LLL</t>
  </si>
  <si>
    <t>PG012LLK</t>
  </si>
  <si>
    <t>9PK0YC2</t>
  </si>
  <si>
    <t>VNFNS80090</t>
  </si>
  <si>
    <t>VNC3623919</t>
  </si>
  <si>
    <t>VNC3813793</t>
  </si>
  <si>
    <t>VNC3809074</t>
  </si>
  <si>
    <t>VNC3726230</t>
  </si>
  <si>
    <t>VNC3617468</t>
  </si>
  <si>
    <t>VNC3914235</t>
  </si>
  <si>
    <t xml:space="preserve">CNCH455014 </t>
  </si>
  <si>
    <t xml:space="preserve">CNCH455052 </t>
  </si>
  <si>
    <t>CNCH691205</t>
  </si>
  <si>
    <t>VNC4L83240</t>
  </si>
  <si>
    <t>VNC4L83234</t>
  </si>
  <si>
    <t>701703430N3GY</t>
  </si>
  <si>
    <t>2DR02861</t>
  </si>
  <si>
    <t>2DR02860</t>
  </si>
  <si>
    <t>CNF8H7P1M4</t>
  </si>
  <si>
    <t>PHBBJ5RGNX</t>
  </si>
  <si>
    <t>PHB8JDT0YW</t>
  </si>
  <si>
    <t>CNBKL8KFNG</t>
  </si>
  <si>
    <t>CNJ8FCFG7D</t>
  </si>
  <si>
    <t>VYB2X11448</t>
  </si>
  <si>
    <t xml:space="preserve">VYB2X11033 </t>
  </si>
  <si>
    <t>VYB2X11028</t>
  </si>
  <si>
    <t>VYB2X11020</t>
  </si>
  <si>
    <t>VYB2799920</t>
  </si>
  <si>
    <t>VYB2495545</t>
  </si>
  <si>
    <t>CNF5Q01739</t>
  </si>
  <si>
    <t>R8ZZ520014H</t>
  </si>
  <si>
    <t>A09780449B210010</t>
  </si>
  <si>
    <t>B105129629280128</t>
  </si>
  <si>
    <t>821607454CF7CV</t>
  </si>
  <si>
    <t>82153343CAFED5</t>
  </si>
  <si>
    <t>603KCMRA8867</t>
  </si>
  <si>
    <t>OA573PCGBOOO14Z</t>
  </si>
  <si>
    <t>NA</t>
  </si>
  <si>
    <t>GEMC-511687705148691
Dt 07-12-2021</t>
  </si>
  <si>
    <t>GEMC-511687797462885
Dt. 12-10-2022</t>
  </si>
  <si>
    <t>DESKTOP</t>
  </si>
  <si>
    <t>Video Conference system</t>
  </si>
  <si>
    <t>LED</t>
  </si>
  <si>
    <t>980, 03-05-2014</t>
  </si>
  <si>
    <t>HP Server</t>
  </si>
  <si>
    <t>Nil</t>
  </si>
  <si>
    <t>Scanner</t>
  </si>
  <si>
    <t xml:space="preserve">125 KVA DG Set </t>
  </si>
  <si>
    <t>STPH/93-94/DG-02, Dtd: 20-11-1993</t>
  </si>
  <si>
    <t>Powerica Limited</t>
  </si>
  <si>
    <t>233/93-11, 20.11.1993</t>
  </si>
  <si>
    <t>STPH/93-94/DG-01, Dtd: 20-11-1993</t>
  </si>
  <si>
    <t>25195032 &amp; 9321027-126</t>
  </si>
  <si>
    <t>25205081 &amp; 9421118-71</t>
  </si>
  <si>
    <t>38 mts Angular tower</t>
  </si>
  <si>
    <t>26 mts Angular tower</t>
  </si>
  <si>
    <t>Transformer 200KVA</t>
  </si>
  <si>
    <t xml:space="preserve">Switch Fuse Unit (SFU) 11KV </t>
  </si>
  <si>
    <t xml:space="preserve">Power factor control panel-100KVAR </t>
  </si>
  <si>
    <t>Po No.34  dt: 15-12-2009</t>
  </si>
  <si>
    <t>CPWD</t>
  </si>
  <si>
    <t>10088K756</t>
  </si>
  <si>
    <t xml:space="preserve">10 Ton PAC Blue Star </t>
  </si>
  <si>
    <t>Po No 66, Dt: 21-11-2009</t>
  </si>
  <si>
    <t>Air control engineers</t>
  </si>
  <si>
    <t>935, dt 05.01.2010</t>
  </si>
  <si>
    <t>ODU:.PCD 502 F09000068
IDU PCX-352UFR109000012</t>
  </si>
  <si>
    <t>2 Ton  Carrier</t>
  </si>
  <si>
    <t>Po No 71  dt: 26-11-2009</t>
  </si>
  <si>
    <t xml:space="preserve">ODU500171223091003959 
IDU500183624091003792  </t>
  </si>
  <si>
    <t>STPH/PRJ-012/2013-2014/5626, 1Dt : 12-07-2013</t>
  </si>
  <si>
    <t>IDU-500312852149000038  
ODU-500312951149000029</t>
  </si>
  <si>
    <t>IDU-500312852149000037   ODU-500312951149000027</t>
  </si>
  <si>
    <t>IDU-500312852149000036  ODU-500312951149000028</t>
  </si>
  <si>
    <t>8.5 Ton  PAC  Stulz</t>
  </si>
  <si>
    <t>ODU-HR56ODU12140097,
ODU-HR56ODU12140096</t>
  </si>
  <si>
    <t xml:space="preserve">2 Ton carrier </t>
  </si>
  <si>
    <t>1 Ton Carrier</t>
  </si>
  <si>
    <t>Po No 49, dt 22-02-2016</t>
  </si>
  <si>
    <t xml:space="preserve">Comfort Air Control Systems </t>
  </si>
  <si>
    <t>11244, dt 25.02.2016</t>
  </si>
  <si>
    <t>ODU 500324046159000834
IDU 500315047159001027</t>
  </si>
  <si>
    <t>ODU 500324046159000838
 IDU 500315047159001024</t>
  </si>
  <si>
    <t>ODU 50032404046159000848
 IDU 500315047159001043</t>
  </si>
  <si>
    <t>ODU 5003141251519008603
IDU 500314031159009364</t>
  </si>
  <si>
    <t>3 Ton Package carrier</t>
  </si>
  <si>
    <t>ODU-500181405158000020</t>
  </si>
  <si>
    <t>ODU-500181405158000021</t>
  </si>
  <si>
    <t xml:space="preserve">1 Ton Casette Bluestar </t>
  </si>
  <si>
    <t xml:space="preserve">1.5Ton Casette Bluestar </t>
  </si>
  <si>
    <t xml:space="preserve">2.0Ton Casette Bluestar </t>
  </si>
  <si>
    <t xml:space="preserve">3.0Ton Casette Bluestar </t>
  </si>
  <si>
    <t xml:space="preserve">3 Ton ductable Bluestar </t>
  </si>
  <si>
    <t>2 Ton Split AC bluestar</t>
  </si>
  <si>
    <t>NPCC</t>
  </si>
  <si>
    <t>DCC12C17F00110</t>
  </si>
  <si>
    <t xml:space="preserve"> F00108</t>
  </si>
  <si>
    <t>F00112</t>
  </si>
  <si>
    <t>F00109</t>
  </si>
  <si>
    <t>DLC18B17F00008</t>
  </si>
  <si>
    <t xml:space="preserve"> F00004</t>
  </si>
  <si>
    <t>F0006</t>
  </si>
  <si>
    <t>F00355</t>
  </si>
  <si>
    <t>DLC24C17F00132</t>
  </si>
  <si>
    <t>F00131</t>
  </si>
  <si>
    <t>F00136</t>
  </si>
  <si>
    <t>F00135</t>
  </si>
  <si>
    <t>DLC 2417F00133</t>
  </si>
  <si>
    <t>DLC 2417F00134</t>
  </si>
  <si>
    <t>DLC38C17F00162</t>
  </si>
  <si>
    <t xml:space="preserve"> F00157</t>
  </si>
  <si>
    <t xml:space="preserve"> 2403335600273300160230, </t>
  </si>
  <si>
    <t xml:space="preserve"> AVANTI HS 404(E)</t>
  </si>
  <si>
    <t xml:space="preserve"> 1 Ton Onida </t>
  </si>
  <si>
    <t>Po No 22  dt: 06-06-2018</t>
  </si>
  <si>
    <t xml:space="preserve">MAHA Shakti Traders </t>
  </si>
  <si>
    <t>IDU-N17LA400061                   
ODU-17LA4000288</t>
  </si>
  <si>
    <t>IDU17LA400071                   ODU17LA4000256</t>
  </si>
  <si>
    <t>IDU17LA4000221                   ODU17LA4000259</t>
  </si>
  <si>
    <t>IDU17LA4000222                   ODU17LA4000217</t>
  </si>
  <si>
    <t>IDU17LA4000229                   ODU17LA4000122</t>
  </si>
  <si>
    <t>15 Ton PAC Stulz</t>
  </si>
  <si>
    <t>Po.No. 04, Dt: 05-04-2019</t>
  </si>
  <si>
    <t>Prasa Infocom &amp; Power Solutions Pvt Ltd</t>
  </si>
  <si>
    <t>2014010168/10210, dt 11.06.2019</t>
  </si>
  <si>
    <t xml:space="preserve"> 1 Ton Voltas </t>
  </si>
  <si>
    <t xml:space="preserve"> 2 Ton Hitachi </t>
  </si>
  <si>
    <t>Po No.29  dt: 04-09-2020</t>
  </si>
  <si>
    <t>MEGASTAR ELECTRONICS,78,Hall Bazar,</t>
  </si>
  <si>
    <t>DC 62, dt 24.09.2020</t>
  </si>
  <si>
    <t>Po No.30  dt: 04-09-2020</t>
  </si>
  <si>
    <t xml:space="preserve">Mangalam Stores </t>
  </si>
  <si>
    <t>Invoice no. 462, dt 08.09.2020</t>
  </si>
  <si>
    <t xml:space="preserve"> 1908B60713</t>
  </si>
  <si>
    <t>Air Conditioner</t>
  </si>
  <si>
    <t>(Erico- TDS-150</t>
  </si>
  <si>
    <t xml:space="preserve"> Erico TSG 1130-2S </t>
  </si>
  <si>
    <t>1S (R)  - 2777</t>
  </si>
  <si>
    <t>TSG 1130-2S</t>
  </si>
  <si>
    <t>AMF Electrical  Pannels</t>
  </si>
  <si>
    <t>Po No. 17, Dt : 14-09-2010</t>
  </si>
  <si>
    <t>M/s Ahuja Engineering Services P Ltd</t>
  </si>
  <si>
    <t>AES/JW105/10-11,dt 12.01.2011</t>
  </si>
  <si>
    <t xml:space="preserve">2765684-AMF-1 </t>
  </si>
  <si>
    <t>2765762-AMF2</t>
  </si>
  <si>
    <t>20KVA UPS</t>
  </si>
  <si>
    <t>Po No. 64 dt: 02-01-2011</t>
  </si>
  <si>
    <t>Numeric power systems</t>
  </si>
  <si>
    <t>1200032430, 25.02.2011</t>
  </si>
  <si>
    <t>II101110120</t>
  </si>
  <si>
    <t>II101110121</t>
  </si>
  <si>
    <t>APC ATS AP7722A</t>
  </si>
  <si>
    <t>Po No.37 Dat: 10-11-2013</t>
  </si>
  <si>
    <t>APC IPDU</t>
  </si>
  <si>
    <t>ZA1240001827</t>
  </si>
  <si>
    <t>Po No.42 Dat:11-01-2016</t>
  </si>
  <si>
    <t>Access Power Care Systems  </t>
  </si>
  <si>
    <t>5A1636E05285</t>
  </si>
  <si>
    <t>5A1636E05286</t>
  </si>
  <si>
    <t>5A1636E05294</t>
  </si>
  <si>
    <t>5A1636E05295</t>
  </si>
  <si>
    <t>ZA1631180194</t>
  </si>
  <si>
    <t>ZA1631180196</t>
  </si>
  <si>
    <t>ZA1631180204</t>
  </si>
  <si>
    <t>ZA1631180209</t>
  </si>
  <si>
    <t>APC</t>
  </si>
  <si>
    <t>DG Set</t>
  </si>
  <si>
    <t>UPS</t>
  </si>
  <si>
    <t>AMF</t>
  </si>
  <si>
    <t>Tower</t>
  </si>
  <si>
    <t>100KVA Delta UPS System</t>
  </si>
  <si>
    <t>2X80KVA Emerson UPS</t>
  </si>
  <si>
    <t>Po No. 38, Dt: 21-12-2015</t>
  </si>
  <si>
    <t>Delta power solutions india pvt ltd</t>
  </si>
  <si>
    <t>UK/107096, dt 08.03.2016</t>
  </si>
  <si>
    <t>E21315C00184R2</t>
  </si>
  <si>
    <t>201405HX0379</t>
  </si>
  <si>
    <t>5KVA Inverter</t>
  </si>
  <si>
    <t>RVF000041</t>
  </si>
  <si>
    <t>VAV 1500 CFM</t>
  </si>
  <si>
    <t>VAV 2000 CFM</t>
  </si>
  <si>
    <t>VAV 2500 CFM</t>
  </si>
  <si>
    <t>VAV 3000 CFM</t>
  </si>
  <si>
    <t>VAV 900 CFM</t>
  </si>
  <si>
    <t>VAV 650 CFM</t>
  </si>
  <si>
    <t>VAV 800 CFM</t>
  </si>
  <si>
    <t>Spectra</t>
  </si>
  <si>
    <t>Honeywell Indoor Camera</t>
  </si>
  <si>
    <t>B1410300102</t>
  </si>
  <si>
    <t>B1410300015</t>
  </si>
  <si>
    <t>B1410300061</t>
  </si>
  <si>
    <t>B1410300083</t>
  </si>
  <si>
    <t>B1410300050</t>
  </si>
  <si>
    <t>B1410300101</t>
  </si>
  <si>
    <t>B1410300049</t>
  </si>
  <si>
    <t>B1410300057</t>
  </si>
  <si>
    <t>B1410300045</t>
  </si>
  <si>
    <t>B1410300042</t>
  </si>
  <si>
    <t>B1410300063</t>
  </si>
  <si>
    <t>B1410300068</t>
  </si>
  <si>
    <t>B1410300059</t>
  </si>
  <si>
    <t>B1410300060</t>
  </si>
  <si>
    <t>B1410300058</t>
  </si>
  <si>
    <t xml:space="preserve"> Phillips  06 Watts ceiling speakers </t>
  </si>
  <si>
    <t>Bosch Amplifier System</t>
  </si>
  <si>
    <t xml:space="preserve">NA </t>
  </si>
  <si>
    <t>Supervisory Controller for HAVC</t>
  </si>
  <si>
    <t>IVRFTDV6800347</t>
  </si>
  <si>
    <t>Honeywell 16CH DVR</t>
  </si>
  <si>
    <t xml:space="preserve"> HADVR121615123036</t>
  </si>
  <si>
    <t>Axis Indoor Camera</t>
  </si>
  <si>
    <t>8CH NVR</t>
  </si>
  <si>
    <t>ACCC8E841258</t>
  </si>
  <si>
    <t>ACCC8E841260</t>
  </si>
  <si>
    <t>ACCC8E8412D8</t>
  </si>
  <si>
    <t>ACCC8E84127A</t>
  </si>
  <si>
    <t>ACCC8E84124B</t>
  </si>
  <si>
    <t>ACCC8E8412F4</t>
  </si>
  <si>
    <t>ACCC8E841247</t>
  </si>
  <si>
    <t>ACCC8E84126D</t>
  </si>
  <si>
    <t>ACCC8E841243</t>
  </si>
  <si>
    <t>ACCC8E841249</t>
  </si>
  <si>
    <t>ACCC8E8412C2</t>
  </si>
  <si>
    <t>ACCC8E84124C</t>
  </si>
  <si>
    <t>NS-2080-CY0-7041000 16</t>
  </si>
  <si>
    <t>Hikvison Indoor camera</t>
  </si>
  <si>
    <t>Hikvison Outdoor camera</t>
  </si>
  <si>
    <t>Hikvison 16Ch 48TB NVR</t>
  </si>
  <si>
    <t>Hikvison PoE Switches</t>
  </si>
  <si>
    <t>work order no.  06/2021-22  dt: 26-07-2021</t>
  </si>
  <si>
    <t>M/s Sreetrinethra security systems</t>
  </si>
  <si>
    <t>160,dt 06.12.2021</t>
  </si>
  <si>
    <t>F99144058</t>
  </si>
  <si>
    <t>F99144001</t>
  </si>
  <si>
    <t>F99144059</t>
  </si>
  <si>
    <t>F99144005</t>
  </si>
  <si>
    <t>F99144067</t>
  </si>
  <si>
    <t>F99144048</t>
  </si>
  <si>
    <t>F99144002</t>
  </si>
  <si>
    <t>F99144051</t>
  </si>
  <si>
    <t>F99144010</t>
  </si>
  <si>
    <t>G76376784</t>
  </si>
  <si>
    <t>G69835144</t>
  </si>
  <si>
    <t>G76376789</t>
  </si>
  <si>
    <t>G78109611</t>
  </si>
  <si>
    <t>G55368734</t>
  </si>
  <si>
    <t>G55368736</t>
  </si>
  <si>
    <t>G249038240</t>
  </si>
  <si>
    <t>G249038250</t>
  </si>
  <si>
    <t>PoE Switch D Link</t>
  </si>
  <si>
    <t>TSIIC/ NPCC</t>
  </si>
  <si>
    <t>QS8C1H3001217</t>
  </si>
  <si>
    <t>DGS-1008MP</t>
  </si>
  <si>
    <t>350 CFM VAV BOX</t>
  </si>
  <si>
    <t>450 CFM VAV BOX</t>
  </si>
  <si>
    <t>650 CFM VAV BOX</t>
  </si>
  <si>
    <t>800 CFM VAV BOX</t>
  </si>
  <si>
    <t>1050 CFM VAV BOX</t>
  </si>
  <si>
    <t>1350 CFM VAV BOX</t>
  </si>
  <si>
    <t>IVRFTDV6800322</t>
  </si>
  <si>
    <t xml:space="preserve"> Ahuja  Amplifier System</t>
  </si>
  <si>
    <t>Ahuja  Zone Selector</t>
  </si>
  <si>
    <t xml:space="preserve"> Bosch 06 Watts ceiling speakers </t>
  </si>
  <si>
    <t>Thermostat</t>
  </si>
  <si>
    <t>Actuators</t>
  </si>
  <si>
    <t>OIN704012704200012 7</t>
  </si>
  <si>
    <t>OIN704012704200012 4</t>
  </si>
  <si>
    <t>OIN704012704200012 2</t>
  </si>
  <si>
    <t>OIN704012704200021 5</t>
  </si>
  <si>
    <t xml:space="preserve">MAIN LT PANEL-1 </t>
  </si>
  <si>
    <t xml:space="preserve">MAIN LT PANEL-2 </t>
  </si>
  <si>
    <t>20HP</t>
  </si>
  <si>
    <t>16HP</t>
  </si>
  <si>
    <t>IVRFB-20TC17F00023</t>
  </si>
  <si>
    <t>IVRFB-16TC17F00051</t>
  </si>
  <si>
    <t>eSSL x990 Biometric</t>
  </si>
  <si>
    <t>Po No 41 dt  09-11-2017</t>
  </si>
  <si>
    <t>OIN7060057062000514</t>
  </si>
  <si>
    <t>OIN7060057062000453</t>
  </si>
  <si>
    <t>Biomax 3000</t>
  </si>
  <si>
    <t>GEMC-511687764411833, dt 04-07-2022</t>
  </si>
  <si>
    <t xml:space="preserve">RHYTHM Technologies </t>
  </si>
  <si>
    <t>22-23/160, dt 13.04.2022</t>
  </si>
  <si>
    <t>84EOF42C5E8DAA01</t>
  </si>
  <si>
    <t>84EOF42C5D4DAA01</t>
  </si>
  <si>
    <t>84EOF42C5D14AA01</t>
  </si>
  <si>
    <t xml:space="preserve">Paper Shredding machine </t>
  </si>
  <si>
    <t>Po No.68  dt: 03-02-2021</t>
  </si>
  <si>
    <t>Rariton IPDU</t>
  </si>
  <si>
    <t>GEMC-511687792011453  dated: 27/10/2023</t>
  </si>
  <si>
    <t>BAHETI TECH SOLUTIONS PRIVATE LIMITED</t>
  </si>
  <si>
    <t>BTS2023-24/464, dt 01.11.2023</t>
  </si>
  <si>
    <t>QYH3500085,QYH3500115,
QYH3500114,QYH3500067,
 QYH3500059,QYH3500072</t>
  </si>
  <si>
    <t>60KVA BPE UPS System</t>
  </si>
  <si>
    <t>GEMC-511687767944400,Dt: 14-03-2022</t>
  </si>
  <si>
    <t>RAJ POWER TECH SERVICES</t>
  </si>
  <si>
    <t>19, dt 7.04.2022</t>
  </si>
  <si>
    <t>R12M21G00006</t>
  </si>
  <si>
    <t>VAV</t>
  </si>
  <si>
    <t>NS-2080-CY0-704100009</t>
  </si>
  <si>
    <t>Switches</t>
  </si>
  <si>
    <t>Camera</t>
  </si>
  <si>
    <t>FM-200 System</t>
  </si>
  <si>
    <t>Deckers Fire &amp; security systems pvt ltd</t>
  </si>
  <si>
    <t>DFSSPL/285, dt 11.01.2010</t>
  </si>
  <si>
    <t>Ravel 4 Zone Fire alarm Control Panel</t>
  </si>
  <si>
    <t>Po No. 27, Dt : 09-03-2013</t>
  </si>
  <si>
    <t xml:space="preserve">Schneider Electric IPL </t>
  </si>
  <si>
    <t>HYD/DC/13-14/070, 27.09.2013</t>
  </si>
  <si>
    <t>EST Make Fire Control Panel</t>
  </si>
  <si>
    <t>Addressable Wall Mounting Strobes Cum Hooters</t>
  </si>
  <si>
    <t xml:space="preserve">Smoke Detectors  </t>
  </si>
  <si>
    <t xml:space="preserve">Dual tone electronic hooters  </t>
  </si>
  <si>
    <t xml:space="preserve">Honewell  2-Loop Control Panel </t>
  </si>
  <si>
    <t xml:space="preserve">Co2 Gas 2KG </t>
  </si>
  <si>
    <t xml:space="preserve">Co2 Gas 4.5 KG </t>
  </si>
  <si>
    <t>9695,9679,9706,9713,9722,9682,9674,9686,9720</t>
  </si>
  <si>
    <t>Water Co2  9 Litre</t>
  </si>
  <si>
    <t xml:space="preserve">DCP 6 Kg DRY Chemical Powder </t>
  </si>
  <si>
    <t xml:space="preserve">Clean Agent HFC 236FA Fire Extinguishers  </t>
  </si>
  <si>
    <t xml:space="preserve">Co2 Gas 6.5 KG </t>
  </si>
  <si>
    <t>PO No.40 dt:25.07.2018</t>
  </si>
  <si>
    <t>Firewin Safety Engineers</t>
  </si>
  <si>
    <t>DC No 235</t>
  </si>
  <si>
    <t>Flameblitzz</t>
  </si>
  <si>
    <t>DC No..260, dt 27.02.2023</t>
  </si>
  <si>
    <t>8769,8771,8767,8768,8797,8787,8775,8796,8772,8793,8775</t>
  </si>
  <si>
    <t>530,532,534,536,537,538,</t>
  </si>
  <si>
    <t>S. No 731, 732, 733, 734, 735.</t>
  </si>
  <si>
    <t>S. No 521, 522.</t>
  </si>
  <si>
    <t>S. NO  141, 142.</t>
  </si>
  <si>
    <t xml:space="preserve">( S. NO. 651, 652,653) </t>
  </si>
  <si>
    <t>Po No. 72, Dt.: 30-11-2009</t>
  </si>
  <si>
    <t>Spectrsa</t>
  </si>
  <si>
    <t>ESSL</t>
  </si>
  <si>
    <t>ESSL access control</t>
  </si>
  <si>
    <t>Po No 19, dt:03-06-2002</t>
  </si>
  <si>
    <t>Cisco 2950 Series switch</t>
  </si>
  <si>
    <t>Wipro Infotech</t>
  </si>
  <si>
    <t xml:space="preserve">FOC0630Z0VE, 24 </t>
  </si>
  <si>
    <t>FHK0652W1HD,-24</t>
  </si>
  <si>
    <t>FOC1310W27V,-24</t>
  </si>
  <si>
    <t>FOC1310W1TS-12</t>
  </si>
  <si>
    <t>FOC1034ZAAV</t>
  </si>
  <si>
    <t>Po No 44, dt:12-09-2005</t>
  </si>
  <si>
    <t>Po No 47, dt:19-09-2005</t>
  </si>
  <si>
    <t>85, 19-05-2010</t>
  </si>
  <si>
    <t>FHK1118F11L</t>
  </si>
  <si>
    <t>FHK1411F0GF</t>
  </si>
  <si>
    <t>FHK0852F26D</t>
  </si>
  <si>
    <t>CAT0949N4XL</t>
  </si>
  <si>
    <t>Cisco 3750 catalyst switch</t>
  </si>
  <si>
    <t>WS/942/2006,24-03-2007</t>
  </si>
  <si>
    <t>45223510,14-12-2005</t>
  </si>
  <si>
    <t>CAT1048RGPD</t>
  </si>
  <si>
    <t xml:space="preserve"> CAT0949N515</t>
  </si>
  <si>
    <t>CAT1048RGRQ</t>
  </si>
  <si>
    <t>Cisco catalyst 2960</t>
  </si>
  <si>
    <t>Po No 31, dt:18-06-2007</t>
  </si>
  <si>
    <t>FOC1103X0DT-48</t>
  </si>
  <si>
    <t>FOC1027X47G-48</t>
  </si>
  <si>
    <t xml:space="preserve"> FO1127Z9UQ-48</t>
  </si>
  <si>
    <t>FOC1127Z9nD-48</t>
  </si>
  <si>
    <t>3Com switch 24 Ports</t>
  </si>
  <si>
    <t>Po No 04,dt.28-04-2010</t>
  </si>
  <si>
    <t>3COM</t>
  </si>
  <si>
    <t>10-11/0045,07-06-2010</t>
  </si>
  <si>
    <t xml:space="preserve"> 9S4FC4R18BD00</t>
  </si>
  <si>
    <t>Cisco 3560  L3 Switch</t>
  </si>
  <si>
    <t>Cisco 2960 L2 switch</t>
  </si>
  <si>
    <t>STPH/PRJ-012/2013-2014/5626, dt.12-07-2013</t>
  </si>
  <si>
    <t>FDO1910P05H</t>
  </si>
  <si>
    <t>FOC1925S04F</t>
  </si>
  <si>
    <t>FCW1929B6PX</t>
  </si>
  <si>
    <t>FCW1929B6RW</t>
  </si>
  <si>
    <t>FCW1929B6W4</t>
  </si>
  <si>
    <t>FCW1929B6TQ</t>
  </si>
  <si>
    <t>FCW1929A4RF</t>
  </si>
  <si>
    <t>FOC1925S4E1</t>
  </si>
  <si>
    <t>FCW1927A5Q1</t>
  </si>
  <si>
    <t>FOC1927Y48P</t>
  </si>
  <si>
    <t>Juniper EX 4200 L2 Switch</t>
  </si>
  <si>
    <t>Juniper EX 2200 L2 Switch</t>
  </si>
  <si>
    <t>Po.No. N1350349, dt.21-08-2013</t>
  </si>
  <si>
    <t>Ms Inspira Enterprise India Pvt Ltd</t>
  </si>
  <si>
    <t>IEIPL/MUM/13-14/064,07-11-2013</t>
  </si>
  <si>
    <t>IEIPL/MUM/13-14/113,07-11-2013</t>
  </si>
  <si>
    <t>BM0213317845</t>
  </si>
  <si>
    <t>BM0213317814</t>
  </si>
  <si>
    <t>CW0213290039</t>
  </si>
  <si>
    <t>CW0213290382</t>
  </si>
  <si>
    <t>CW0213290166</t>
  </si>
  <si>
    <t>CW0213300484</t>
  </si>
  <si>
    <t>CW0213300382</t>
  </si>
  <si>
    <t xml:space="preserve">Juniper MX-480 Router                                                        </t>
  </si>
  <si>
    <t xml:space="preserve">Juniper MX-104 Router                                                        </t>
  </si>
  <si>
    <t>Po No 72, dt 31-03-2015</t>
  </si>
  <si>
    <t>Ms National Informatic Centre services inc</t>
  </si>
  <si>
    <t>Po No 80, dt 12-02-2018</t>
  </si>
  <si>
    <t>Po No 05, dt 09-04-2018</t>
  </si>
  <si>
    <t>564,08-07-2015</t>
  </si>
  <si>
    <t>3,03-Apr-18</t>
  </si>
  <si>
    <t>MH-1819-06-012,06-Jun-18</t>
  </si>
  <si>
    <t>JN12422CEAFB</t>
  </si>
  <si>
    <t>BH184</t>
  </si>
  <si>
    <t>BK638</t>
  </si>
  <si>
    <t>Router</t>
  </si>
  <si>
    <t>Juniper EX-3300 L2 Switch</t>
  </si>
  <si>
    <t>Po No 63, dt 22-03-2017</t>
  </si>
  <si>
    <t>P163630NWTS,30-06-2017</t>
  </si>
  <si>
    <t>GD0217160038</t>
  </si>
  <si>
    <t>GD0217160285</t>
  </si>
  <si>
    <t xml:space="preserve"> GD0217160267</t>
  </si>
  <si>
    <t>GD0217160051</t>
  </si>
  <si>
    <t>GD0217160198</t>
  </si>
  <si>
    <t>Juniper EX 4300 L3 Switch</t>
  </si>
  <si>
    <t>Po No 76, dt 26-12-2018</t>
  </si>
  <si>
    <t>KA-1819-02-001,07-02-2019</t>
  </si>
  <si>
    <t>PG3719010045</t>
  </si>
  <si>
    <t>PG3719010078</t>
  </si>
  <si>
    <t>PG3719010162</t>
  </si>
  <si>
    <t>PG3719010183</t>
  </si>
  <si>
    <t>SWITCH</t>
  </si>
  <si>
    <t>Cisco CAP2702</t>
  </si>
  <si>
    <t>Cisco Controller</t>
  </si>
  <si>
    <t>Po.No-57,Dtd:24-03-2016</t>
  </si>
  <si>
    <t>FGL2010X0G0</t>
  </si>
  <si>
    <t>FGL2010X0G1</t>
  </si>
  <si>
    <t>FGL2010X0G2</t>
  </si>
  <si>
    <t>FGL2010X0G3</t>
  </si>
  <si>
    <t>FGL2010X0G4</t>
  </si>
  <si>
    <t>Cambium Force 200 wireless Bridges</t>
  </si>
  <si>
    <t>Po No.70, 11-01-2018</t>
  </si>
  <si>
    <t>LABYRINTH  SOLUTIONS</t>
  </si>
  <si>
    <t>60-0118, 24-01-2018</t>
  </si>
  <si>
    <t>E8TH12ZWQ1F2</t>
  </si>
  <si>
    <t>E8TH12ZX4QTK</t>
  </si>
  <si>
    <t>E8TH13NP0TTV</t>
  </si>
  <si>
    <t>E8TH136L0W95</t>
  </si>
  <si>
    <t>Po No.35, 19-07-2018</t>
  </si>
  <si>
    <t>E8UB07WLZFSD</t>
  </si>
  <si>
    <t>E8UB099B0RH2</t>
  </si>
  <si>
    <t>E8UB07CH8ROC</t>
  </si>
  <si>
    <t>LABY 43-45,09-08-2018</t>
  </si>
  <si>
    <t>Po No.23, 12-06-2019</t>
  </si>
  <si>
    <t>LABY/20-0619, 26-06-2019</t>
  </si>
  <si>
    <t>E8UFORD9C35D</t>
  </si>
  <si>
    <t>E8UF0RP7H1CP</t>
  </si>
  <si>
    <t>E8UF0R7MS1LZ</t>
  </si>
  <si>
    <t>E8UF0SCKLWG5</t>
  </si>
  <si>
    <t>E8UF0S38M16B</t>
  </si>
  <si>
    <t>E8UF0RF5LW6G</t>
  </si>
  <si>
    <t>E8UF0RXMC34X</t>
  </si>
  <si>
    <t>E8UF0RZ0L3GS</t>
  </si>
  <si>
    <t>Cambium Force 300 wireless Bridges</t>
  </si>
  <si>
    <t>Po No.70, 09-02-2021</t>
  </si>
  <si>
    <t>LABY/95-0221, 19-02-2018</t>
  </si>
  <si>
    <t>Gem Contract.No.GEMC-511687733309423, 16-11-2021</t>
  </si>
  <si>
    <t>LABY/79-1121, 20-11-2021</t>
  </si>
  <si>
    <t>Mimosa Wireless Bridges</t>
  </si>
  <si>
    <t>NETWORK ORBITER PRIVATE LIMITED</t>
  </si>
  <si>
    <t>ORBDL2324/0013, 03-07-2023</t>
  </si>
  <si>
    <t>E6VM033NHB2P</t>
  </si>
  <si>
    <t>E6VL0BKNKCMR</t>
  </si>
  <si>
    <t>E6VM05ZJZ7Z7</t>
  </si>
  <si>
    <t>E6VM0611WPJL</t>
  </si>
  <si>
    <t>E6VM06348DNH</t>
  </si>
  <si>
    <t>E6VM05ZKLCD3</t>
  </si>
  <si>
    <t>E6VB04DK59FD</t>
  </si>
  <si>
    <t>E6VB043S0PW4</t>
  </si>
  <si>
    <t>E6XC062QF5BL</t>
  </si>
  <si>
    <t>E6XG092XH3RP</t>
  </si>
  <si>
    <t>E6X6093H4PQN</t>
  </si>
  <si>
    <t>E6XG098GV62P</t>
  </si>
  <si>
    <t>E6XG094HQH61</t>
  </si>
  <si>
    <t>E6XC063B96ZH</t>
  </si>
  <si>
    <t>Ruckus Zoneflex R510 Wireless access points</t>
  </si>
  <si>
    <t>Po dt 79; 06-02-2018</t>
  </si>
  <si>
    <t>Ruckus Zoneflex R650</t>
  </si>
  <si>
    <t>Gem Contract. No-511687726573540, 25-07-2023</t>
  </si>
  <si>
    <t>Netcon Technologies India Pvt Ltd</t>
  </si>
  <si>
    <t>NORTH POINT INFOTECH PRIVATE LIMITED</t>
  </si>
  <si>
    <t>TL043/2017-18, 19-02-2018</t>
  </si>
  <si>
    <t>NP/23-24/6, 23-08-2023</t>
  </si>
  <si>
    <t>Ruckus 24 Ports Managed Non Poe Layer 2 Access Switch</t>
  </si>
  <si>
    <t>Gem Contract. No-51168773708189, 07-12-2023</t>
  </si>
  <si>
    <t>ORBTN2324/0014, DT-27-01-2024</t>
  </si>
  <si>
    <t>FEG3841T1EZ</t>
  </si>
  <si>
    <t xml:space="preserve"> FEG3841T1EB</t>
  </si>
  <si>
    <t>FEG3841T1E8</t>
  </si>
  <si>
    <t xml:space="preserve"> FEG3841T1F7</t>
  </si>
  <si>
    <t>Ruckus Zoneflex</t>
  </si>
  <si>
    <t>Location</t>
  </si>
  <si>
    <t>Laptop</t>
  </si>
  <si>
    <t>Biometric</t>
  </si>
  <si>
    <t xml:space="preserve"> LT PANEL</t>
  </si>
  <si>
    <t>SVS Technologies</t>
  </si>
  <si>
    <t>Dell Vostro 15 3510</t>
  </si>
  <si>
    <t>Not available</t>
  </si>
  <si>
    <t>Saphire Computers</t>
  </si>
  <si>
    <t>2C0RTN3</t>
  </si>
  <si>
    <t>Dell Latitude 3500</t>
  </si>
  <si>
    <t>P.O No - 77
Dt.20/01/2020</t>
  </si>
  <si>
    <t>Digitech Electronic systems pvt.Ltd</t>
  </si>
  <si>
    <t>GEM/19-20/515
Dt. 31/01/2020</t>
  </si>
  <si>
    <t>9JW4KW2</t>
  </si>
  <si>
    <t>Dell Latitude 3410</t>
  </si>
  <si>
    <t>P.O No - 41
Dt.28/09/2020</t>
  </si>
  <si>
    <t>SVS/20.-21/814
Dt. 23/10/2020</t>
  </si>
  <si>
    <t>7L80563</t>
  </si>
  <si>
    <t xml:space="preserve">HP ProBook 450 G9 </t>
  </si>
  <si>
    <t>Gem Contract. No-511687749041950
Dt. 08/08/2023</t>
  </si>
  <si>
    <t>PKS Computers</t>
  </si>
  <si>
    <t>PKS/GST187/23-24
Dt.09/08/2023</t>
  </si>
  <si>
    <t>5CD3131DQ5</t>
  </si>
  <si>
    <t>Dell Latitude 3420</t>
  </si>
  <si>
    <t>GEMC-511687799640023
Dt. 06/04/2022</t>
  </si>
  <si>
    <t>Gltech Solutions PVT Ltd</t>
  </si>
  <si>
    <t>GLTS/22-23/016
Dt. 24/05/2022</t>
  </si>
  <si>
    <t>8KS5KL3</t>
  </si>
  <si>
    <t>5CD3114HYC</t>
  </si>
  <si>
    <t>P.O No - 47
Dt. 29/10/2020</t>
  </si>
  <si>
    <t>Arora Solutions PVT.LTD</t>
  </si>
  <si>
    <t>87
Dt. 18/12/2020</t>
  </si>
  <si>
    <t>9NWT763</t>
  </si>
  <si>
    <t>7NWT763</t>
  </si>
  <si>
    <t>Gem Contract. No-511687747543863
Dt.24/05/2023</t>
  </si>
  <si>
    <t>Odissi Systems &amp; Solutions</t>
  </si>
  <si>
    <t>23-24/DC/16_x000D_
Dt. 16/06/2023</t>
  </si>
  <si>
    <t>HVK8RX3</t>
  </si>
  <si>
    <t>BNWT763</t>
  </si>
  <si>
    <t>Dell Vostro 3500</t>
  </si>
  <si>
    <t>Contract.no GEMC-511687764153500
Dt. 20/09/2021</t>
  </si>
  <si>
    <t>21-22/GST/1189_x000D_
Dt. 10/12/2021</t>
  </si>
  <si>
    <t>97SDRK3</t>
  </si>
  <si>
    <t>GVK8RX3</t>
  </si>
  <si>
    <t>Dell Latitude 5430</t>
  </si>
  <si>
    <t>GEMC-511687728043284
Dt.09/03/2023</t>
  </si>
  <si>
    <t>DHARAM AGENCIES</t>
  </si>
  <si>
    <t>DA/362/2022-23 _x000D_
Dt. 24/03/2023</t>
  </si>
  <si>
    <t>JG7Y9W3</t>
  </si>
  <si>
    <t>FG7Y9W3</t>
  </si>
  <si>
    <t>5CD3131DP1</t>
  </si>
  <si>
    <t>P.O No 61
Dt. 18/01/2021</t>
  </si>
  <si>
    <t>SVS/20-21/1708
Dt. 03/03/2021</t>
  </si>
  <si>
    <t>BPDWM93</t>
  </si>
  <si>
    <t>GG7Y9W3</t>
  </si>
  <si>
    <t>5CD3131DMC</t>
  </si>
  <si>
    <t>8Y28RK3</t>
  </si>
  <si>
    <t>5CD3131DR4</t>
  </si>
  <si>
    <t>5CD311BGYJ</t>
  </si>
  <si>
    <t>86SDRK3</t>
  </si>
  <si>
    <t>BRSBRK3</t>
  </si>
  <si>
    <t>DG7Y9W3</t>
  </si>
  <si>
    <t>Contract.no GEMC-51168779030900
Dt.11/02/2022</t>
  </si>
  <si>
    <t>Alpick Inotek</t>
  </si>
  <si>
    <t>GST/A/22-23/24
Dt.12/04/2022</t>
  </si>
  <si>
    <t>DTH4QJ3</t>
  </si>
  <si>
    <t>GEMC-511687722352858
Dt.25/09/2021</t>
  </si>
  <si>
    <t>Arora IT Solutions PVT.LTD</t>
  </si>
  <si>
    <t>GEM/0051
Dt. 25/09/2021</t>
  </si>
  <si>
    <t>29RMRH3</t>
  </si>
  <si>
    <t>CG7Y9W3</t>
  </si>
  <si>
    <t>HG7Y9W3</t>
  </si>
  <si>
    <t>GEMC-511687766848075
Dt.27/03/2023</t>
  </si>
  <si>
    <t>23-24GST/34 _x000D_
Dt.11/04/2023</t>
  </si>
  <si>
    <t>3YKPXW3</t>
  </si>
  <si>
    <t>4YKPXW3</t>
  </si>
  <si>
    <t>9PDWM93</t>
  </si>
  <si>
    <t>Lenovo Yoga 7i</t>
  </si>
  <si>
    <t>P.O No 78
Dt. 23/03/2021</t>
  </si>
  <si>
    <t>G12721_x000D_
Dt. 30/03/2021</t>
  </si>
  <si>
    <t>PF2JZ1TS</t>
  </si>
  <si>
    <t>P.O No 34
10/07/2019</t>
  </si>
  <si>
    <t>SVSHYD/283
Dt. 12/08/2019</t>
  </si>
  <si>
    <t>MP1LZWH4</t>
  </si>
  <si>
    <t>Sofa 3 seater</t>
  </si>
  <si>
    <t>Sofa 2 seater</t>
  </si>
  <si>
    <t>Sofa 1 seater</t>
  </si>
  <si>
    <t>Round Coffee Table</t>
  </si>
  <si>
    <t>Wooden table</t>
  </si>
  <si>
    <t>Steel Table</t>
  </si>
  <si>
    <t>Metal Waiting chair 2 Seater</t>
  </si>
  <si>
    <t>Chairs</t>
  </si>
  <si>
    <t>wheel chair</t>
  </si>
  <si>
    <t>Open Record Rack 4ft</t>
  </si>
  <si>
    <t>Open Record Rack 6ft</t>
  </si>
  <si>
    <t>Open Record Rack 7ft</t>
  </si>
  <si>
    <t>Steel File rack</t>
  </si>
  <si>
    <t>STPI Name Board</t>
  </si>
  <si>
    <t>Writing board</t>
  </si>
  <si>
    <t>Writing board Big</t>
  </si>
  <si>
    <t>Workstations</t>
  </si>
  <si>
    <t>quotation collection box</t>
  </si>
  <si>
    <t>Almara Steel</t>
  </si>
  <si>
    <t>Vaccum Cleaner</t>
  </si>
  <si>
    <t>Weighing Machine</t>
  </si>
  <si>
    <t>BP Monitor</t>
  </si>
  <si>
    <t>Iron Trolly</t>
  </si>
  <si>
    <t>Notice board</t>
  </si>
  <si>
    <t>Podium</t>
  </si>
  <si>
    <t>Paper Shredder</t>
  </si>
  <si>
    <t>Mini Paper Shredder</t>
  </si>
  <si>
    <t>Computer stand</t>
  </si>
  <si>
    <t xml:space="preserve">Document Locker </t>
  </si>
  <si>
    <t>Wood cupboard</t>
  </si>
  <si>
    <t>Wooden Table</t>
  </si>
  <si>
    <t>Computer Table</t>
  </si>
  <si>
    <t>Godrej file Rack</t>
  </si>
  <si>
    <t>Godrej Glass Rack</t>
  </si>
  <si>
    <t>Server Rack</t>
  </si>
  <si>
    <t>Godrej Almar</t>
  </si>
  <si>
    <t>Work Staion</t>
  </si>
  <si>
    <t>Pedastal Draw</t>
  </si>
  <si>
    <t xml:space="preserve">Jubilee Hills </t>
  </si>
  <si>
    <t>Dancing Spring Back ( Sprayer)</t>
  </si>
  <si>
    <t xml:space="preserve">Featherlite HT Series table </t>
  </si>
  <si>
    <t>Cabint Table main table size 1500mm</t>
  </si>
  <si>
    <t>3/4 Seater Round Discussion table</t>
  </si>
  <si>
    <t xml:space="preserve">12-Seater Conference Table </t>
  </si>
  <si>
    <t>6 PAX Cafe Table</t>
  </si>
  <si>
    <t>Reception Table</t>
  </si>
  <si>
    <t xml:space="preserve">Cabin Main Chairs </t>
  </si>
  <si>
    <t>CEO Chairs</t>
  </si>
  <si>
    <t>CEO Visitor Chairs</t>
  </si>
  <si>
    <t xml:space="preserve">Conference/Board Room Chairs </t>
  </si>
  <si>
    <t xml:space="preserve">Cafeteria Chairs </t>
  </si>
  <si>
    <t>Cahirs Workstations</t>
  </si>
  <si>
    <t>L Shape Workstation Size 1500</t>
  </si>
  <si>
    <t>L Shape Workstation Sze 2400</t>
  </si>
  <si>
    <t>Glass door 900*2400mm</t>
  </si>
  <si>
    <t>Flush door 900*2400mm</t>
  </si>
  <si>
    <t>Wall Mounting Fans</t>
  </si>
  <si>
    <t>Table fan</t>
  </si>
  <si>
    <t>Cordless Phone</t>
  </si>
  <si>
    <t>Exhaust Fan</t>
  </si>
  <si>
    <t>Mobile</t>
  </si>
  <si>
    <t>Data Card</t>
  </si>
  <si>
    <t>Pocket PC</t>
  </si>
  <si>
    <t>Wall Mounting Fan</t>
  </si>
  <si>
    <t>Laser Tester</t>
  </si>
  <si>
    <t>GPS</t>
  </si>
  <si>
    <t>40 KVA UPS System</t>
  </si>
  <si>
    <t>Mobile Pedestal:2D1F</t>
  </si>
  <si>
    <t>ABS Keyboard try with mouse pad</t>
  </si>
  <si>
    <t>CPU Trolley with castors</t>
  </si>
  <si>
    <t>Low Height Storage Unit Size 1200w Printer</t>
  </si>
  <si>
    <t>Low Height Storage Unit Size 750 w</t>
  </si>
  <si>
    <t>Low height storage Unit Size 900w Printer</t>
  </si>
  <si>
    <t xml:space="preserve">Access control PC Server with software </t>
  </si>
  <si>
    <t>Access Proximity cards</t>
  </si>
  <si>
    <t>Roller blinds</t>
  </si>
  <si>
    <t>Remarks/Action to be taken</t>
  </si>
  <si>
    <t>Cyber Tower</t>
  </si>
  <si>
    <t>J. Hills</t>
  </si>
  <si>
    <t xml:space="preserve">Image </t>
  </si>
  <si>
    <t>AP Forest</t>
  </si>
  <si>
    <t xml:space="preserve">Not in use </t>
  </si>
  <si>
    <t>Aqua pop</t>
  </si>
  <si>
    <t>Cisco 3800 router</t>
  </si>
  <si>
    <t>Customer place</t>
  </si>
  <si>
    <t xml:space="preserve">Tower </t>
  </si>
  <si>
    <t>Tower 1</t>
  </si>
  <si>
    <t>Tower 2</t>
  </si>
  <si>
    <t>Store</t>
  </si>
  <si>
    <t>Custemer place</t>
  </si>
  <si>
    <t xml:space="preserve">J  Hills </t>
  </si>
  <si>
    <t>No Ram, not in use</t>
  </si>
  <si>
    <t>Image</t>
  </si>
  <si>
    <t xml:space="preserve">Cyber Towers </t>
  </si>
  <si>
    <t>No ram not in use</t>
  </si>
  <si>
    <t xml:space="preserve">Working </t>
  </si>
  <si>
    <t>PG012M2R</t>
  </si>
  <si>
    <t>HP Desk top</t>
  </si>
  <si>
    <t>INA615Q3SK</t>
  </si>
  <si>
    <t xml:space="preserve">Mini conference </t>
  </si>
  <si>
    <t>Not in use</t>
  </si>
  <si>
    <t>CNCGY51927</t>
  </si>
  <si>
    <t>TWT54700PR</t>
  </si>
  <si>
    <t>TWT54700SJ</t>
  </si>
  <si>
    <t>TWTS4700SA</t>
  </si>
  <si>
    <t>File Server</t>
  </si>
  <si>
    <t>HP Laser Jet 1020</t>
  </si>
  <si>
    <t>CNCKG25704</t>
  </si>
  <si>
    <t xml:space="preserve">Not working </t>
  </si>
  <si>
    <t>softex store room</t>
  </si>
  <si>
    <t>HP Laser Jet M233SDN</t>
  </si>
  <si>
    <t>VNP6H15153</t>
  </si>
  <si>
    <t>Sony TV 32''</t>
  </si>
  <si>
    <t>Working</t>
  </si>
  <si>
    <t>Not working</t>
  </si>
  <si>
    <t xml:space="preserve">HCL Indoor camera </t>
  </si>
  <si>
    <t xml:space="preserve">J Hills </t>
  </si>
  <si>
    <t>3 KVA UPS system</t>
  </si>
  <si>
    <t xml:space="preserve">working </t>
  </si>
  <si>
    <t>Use as back up on emergency</t>
  </si>
  <si>
    <t>94CC21001</t>
  </si>
  <si>
    <t xml:space="preserve">Obsolute </t>
  </si>
  <si>
    <t xml:space="preserve">(Inv.No.534/106/02-03) </t>
  </si>
  <si>
    <t>28/05/2002, No. 13</t>
  </si>
  <si>
    <t>MGE</t>
  </si>
  <si>
    <t>File Rack</t>
  </si>
  <si>
    <t>26.01.1993, 04.08.1993</t>
  </si>
  <si>
    <t>31.03.1997</t>
  </si>
  <si>
    <t>10.04.1991</t>
  </si>
  <si>
    <t>01.01.1993</t>
  </si>
  <si>
    <t>27.01.1993</t>
  </si>
  <si>
    <t>3.10.1991</t>
  </si>
  <si>
    <t>21.03.1996</t>
  </si>
  <si>
    <t>12-09-1996,</t>
  </si>
  <si>
    <t>104, 23.10.2000</t>
  </si>
  <si>
    <t>82, 09.10.2007</t>
  </si>
  <si>
    <t>39, 23.12.2015</t>
  </si>
  <si>
    <t>01.05.1994, 30.10.1998</t>
  </si>
  <si>
    <t>511687706027171, 01-09-2021</t>
  </si>
  <si>
    <t xml:space="preserve">Drilling Machine </t>
  </si>
  <si>
    <t xml:space="preserve">Display board </t>
  </si>
  <si>
    <t xml:space="preserve">Wooden cub boards 3 shelfs </t>
  </si>
  <si>
    <t xml:space="preserve">Wooden cub boards  2 shelfs </t>
  </si>
  <si>
    <t>Notice Board</t>
  </si>
  <si>
    <t xml:space="preserve">EPABX panasonic </t>
  </si>
  <si>
    <t>KV-TES-824</t>
  </si>
  <si>
    <t xml:space="preserve">Welcome board </t>
  </si>
  <si>
    <t>Peadastal fans crampton</t>
  </si>
  <si>
    <t>Display board 4*3</t>
  </si>
  <si>
    <t xml:space="preserve">Conference table </t>
  </si>
  <si>
    <t xml:space="preserve">Chairs </t>
  </si>
  <si>
    <t xml:space="preserve">Defective chairs </t>
  </si>
  <si>
    <t xml:space="preserve">Wooden cub board 4 shelfs </t>
  </si>
  <si>
    <t xml:space="preserve"> Datacom racks</t>
  </si>
  <si>
    <t xml:space="preserve">Server Rack Horizantal </t>
  </si>
  <si>
    <t xml:space="preserve">Server rack Vertical </t>
  </si>
  <si>
    <t>MOU dated : 28.04.2016</t>
  </si>
  <si>
    <t>Manager cabin</t>
  </si>
  <si>
    <t>Discussion cabin</t>
  </si>
  <si>
    <t>Office-01</t>
  </si>
  <si>
    <t>Office-02</t>
  </si>
  <si>
    <t>Office-03</t>
  </si>
  <si>
    <t>Office-04</t>
  </si>
  <si>
    <t>Office-05</t>
  </si>
  <si>
    <t>Office-06</t>
  </si>
  <si>
    <t>Office-07</t>
  </si>
  <si>
    <t xml:space="preserve">Image 1st  Floor </t>
  </si>
  <si>
    <t xml:space="preserve">Image 2nd Floor </t>
  </si>
  <si>
    <t xml:space="preserve">Reception  Area </t>
  </si>
  <si>
    <t xml:space="preserve">Reception table </t>
  </si>
  <si>
    <t xml:space="preserve">Storage unit </t>
  </si>
  <si>
    <t xml:space="preserve">Sofa set </t>
  </si>
  <si>
    <t xml:space="preserve">3 seater </t>
  </si>
  <si>
    <t xml:space="preserve">2 seater </t>
  </si>
  <si>
    <t xml:space="preserve">coffee table </t>
  </si>
  <si>
    <t xml:space="preserve">Plastic chairs </t>
  </si>
  <si>
    <t>Pedastal fans bajaj</t>
  </si>
  <si>
    <t>S342</t>
  </si>
  <si>
    <t>Cafetaria</t>
  </si>
  <si>
    <t xml:space="preserve">Tables </t>
  </si>
  <si>
    <t xml:space="preserve">water Despanser  Usha </t>
  </si>
  <si>
    <t xml:space="preserve">Conference </t>
  </si>
  <si>
    <t xml:space="preserve">Server Room </t>
  </si>
  <si>
    <t xml:space="preserve">Server Racks </t>
  </si>
  <si>
    <t xml:space="preserve">Patch panel racks </t>
  </si>
  <si>
    <t xml:space="preserve">L shape work station table </t>
  </si>
  <si>
    <t xml:space="preserve">Hand drayer </t>
  </si>
  <si>
    <t xml:space="preserve">LT panel </t>
  </si>
  <si>
    <t xml:space="preserve">Vacume cleaner Ureka frobes </t>
  </si>
  <si>
    <t xml:space="preserve">Preview Thetre </t>
  </si>
  <si>
    <t xml:space="preserve">Image Sign board </t>
  </si>
  <si>
    <t xml:space="preserve">Caftaria chairs </t>
  </si>
  <si>
    <t xml:space="preserve">cafetaria Table </t>
  </si>
  <si>
    <t xml:space="preserve">Datacom Racks </t>
  </si>
  <si>
    <t xml:space="preserve">Racks </t>
  </si>
  <si>
    <t xml:space="preserve">Patch panel Racks </t>
  </si>
  <si>
    <t xml:space="preserve">Server Rack </t>
  </si>
  <si>
    <t xml:space="preserve">Water Despensor </t>
  </si>
  <si>
    <t>Bluestar water despensor</t>
  </si>
  <si>
    <t>RE-2F0402-DISP</t>
  </si>
  <si>
    <t xml:space="preserve">48 Volts /5A Power Supply </t>
  </si>
  <si>
    <t xml:space="preserve">48 Volts /15A Power Supply </t>
  </si>
  <si>
    <t>Mectron Electronics</t>
  </si>
  <si>
    <t xml:space="preserve">S K Eneterprises </t>
  </si>
  <si>
    <t>Cisco 7600</t>
  </si>
  <si>
    <t xml:space="preserve">Cisco E1200 Wifi router </t>
  </si>
  <si>
    <t>10822C6C236618</t>
  </si>
  <si>
    <t xml:space="preserve">NOC </t>
  </si>
  <si>
    <t>Samsung LCD 32''</t>
  </si>
  <si>
    <t>LCD</t>
  </si>
  <si>
    <t xml:space="preserve">Not Working </t>
  </si>
  <si>
    <t xml:space="preserve">HP M 227 </t>
  </si>
  <si>
    <t>CNCGY27684</t>
  </si>
  <si>
    <t xml:space="preserve">HP printer </t>
  </si>
  <si>
    <t xml:space="preserve">Maheswari Technologies </t>
  </si>
  <si>
    <t>HP 1015</t>
  </si>
  <si>
    <t>SGFB575874</t>
  </si>
  <si>
    <t>HPM1218</t>
  </si>
  <si>
    <t>CNJ8FCG3J5</t>
  </si>
  <si>
    <t>HPM128</t>
  </si>
  <si>
    <t>CNB9GVW4JJ</t>
  </si>
  <si>
    <t>HP G3110</t>
  </si>
  <si>
    <t>CN39ABA1WS</t>
  </si>
  <si>
    <t>INA523X4PQ</t>
  </si>
  <si>
    <t>INA437SH89</t>
  </si>
  <si>
    <t>INA615Q3R6</t>
  </si>
  <si>
    <t>INA615Q3PC</t>
  </si>
  <si>
    <t>INA615Q3P7</t>
  </si>
  <si>
    <t>INA523X4PJ</t>
  </si>
  <si>
    <t>SAF Modem</t>
  </si>
  <si>
    <t>SAF</t>
  </si>
  <si>
    <t>back up</t>
  </si>
  <si>
    <t xml:space="preserve">UPS  0.6KVA </t>
  </si>
  <si>
    <t>Samsung Fridge</t>
  </si>
  <si>
    <t xml:space="preserve">Induction coocker Phillips </t>
  </si>
  <si>
    <t>02284ZAL604470Y</t>
  </si>
  <si>
    <t>ZK1A2220740497</t>
  </si>
  <si>
    <t xml:space="preserve">Glass rack </t>
  </si>
  <si>
    <t xml:space="preserve">Lunch Table </t>
  </si>
  <si>
    <t xml:space="preserve">Wooden Table </t>
  </si>
  <si>
    <t xml:space="preserve">Ceiling Fans </t>
  </si>
  <si>
    <t xml:space="preserve">Chairs Plastic </t>
  </si>
  <si>
    <t xml:space="preserve">Cot </t>
  </si>
  <si>
    <t xml:space="preserve">Tennies  Table </t>
  </si>
  <si>
    <t xml:space="preserve">cyber Towers </t>
  </si>
  <si>
    <t>3.10.1991, 20.03.1996</t>
  </si>
  <si>
    <t>01 , 8.04.2005</t>
  </si>
  <si>
    <t>10, 14.05.2008</t>
  </si>
  <si>
    <t xml:space="preserve">2 Ton Carrier </t>
  </si>
  <si>
    <t>2AXO-SLV-1321</t>
  </si>
  <si>
    <t>000E530DF031</t>
  </si>
  <si>
    <t xml:space="preserve">Project Model </t>
  </si>
  <si>
    <t>Marble table Director cabin</t>
  </si>
  <si>
    <t>working</t>
  </si>
  <si>
    <t xml:space="preserve">Fridge Godrej </t>
  </si>
  <si>
    <t>ZK1A22220740448</t>
  </si>
  <si>
    <t xml:space="preserve">Old one </t>
  </si>
  <si>
    <t>Camera - Nickon P610</t>
  </si>
  <si>
    <t>R5CRAILAMSM</t>
  </si>
  <si>
    <t>CE0682</t>
  </si>
  <si>
    <t>4G0BDW3694A9</t>
  </si>
  <si>
    <t xml:space="preserve">Samsung Galaxy S 7 Tab </t>
  </si>
  <si>
    <t xml:space="preserve">SVS Technologies </t>
  </si>
  <si>
    <t xml:space="preserve">Google Pixel Mobile </t>
  </si>
  <si>
    <t>Not in Use</t>
  </si>
  <si>
    <t>Current Status  Working/Not working /Obsolete</t>
  </si>
  <si>
    <t>079,     Date 09-27-2007</t>
  </si>
  <si>
    <t>P.O.- 52, Date- 03.01.2016</t>
  </si>
  <si>
    <t>P.O.- 29,  Dt. 08.01.2014</t>
  </si>
  <si>
    <t>P.O- 03, Dt.-04-27-2015</t>
  </si>
  <si>
    <t>P.O.- 21,  Dt.- 07-03-2014</t>
  </si>
  <si>
    <t>P.O.-43,  Dt.-09-12-2005</t>
  </si>
  <si>
    <t>P.O-88,  Dt.- 02-18-2020</t>
  </si>
  <si>
    <t>P.O.- 058,  Dt.- 11-09-2005</t>
  </si>
  <si>
    <t>P.O.-53 , Dt.-01-01-2014</t>
  </si>
  <si>
    <t>P.O.-083, Dt. 12-26-2009</t>
  </si>
  <si>
    <t>P.O-51,  Dt.-11-23-2020</t>
  </si>
  <si>
    <t>LSBK2WJ012124</t>
  </si>
  <si>
    <t>LSBK2WJ012123</t>
  </si>
  <si>
    <t xml:space="preserve">Samsung galaxy ultra S24 mobile </t>
  </si>
  <si>
    <t>Samsung Galaxy S21</t>
  </si>
  <si>
    <t>P.O-012,  Dt.-06-30-2015</t>
  </si>
  <si>
    <t>04-27-2007</t>
  </si>
  <si>
    <t>M/s. MAX Refills</t>
  </si>
  <si>
    <t>563, Dt. 12.09.2005</t>
  </si>
  <si>
    <t>P.O-28, Dt.- 23.08.2004</t>
  </si>
  <si>
    <t>M/s. Computer Service</t>
  </si>
  <si>
    <t>939, Dt.-26.08.2004</t>
  </si>
  <si>
    <t xml:space="preserve">HP Laser jet P1007 </t>
  </si>
  <si>
    <t>P.O.- 05,  Dt.- 21-04-2014</t>
  </si>
  <si>
    <t>980, Dt.-09.05.2014</t>
  </si>
  <si>
    <t>M/s. DGS &amp; D</t>
  </si>
  <si>
    <t>CNCH844868</t>
  </si>
  <si>
    <t>M/s. Buranpuri Syscom</t>
  </si>
  <si>
    <t>AV0011292/20-21
06-07-2020</t>
  </si>
  <si>
    <t>M/s. Sanbay Networks Pvt. Ltd.</t>
  </si>
  <si>
    <t>P.O.-32, GEM-8861642,Dt. 09-09-2020</t>
  </si>
  <si>
    <t>MS184/22-23
Dt. 05-12-2022</t>
  </si>
  <si>
    <t>MS117/22-23
Dt. 20-09-2022</t>
  </si>
  <si>
    <t>GEMC-511687739198872
Dt.-14.07.2022</t>
  </si>
  <si>
    <t>GEMC-511687794290831, 
Dt. 06-20-2023</t>
  </si>
  <si>
    <t>M/s. Emerging Solutions</t>
  </si>
  <si>
    <t>Lenovo V330</t>
  </si>
  <si>
    <t>P.O.-50, Dt.-2021-22</t>
  </si>
  <si>
    <t>M/s. SVS Technologies</t>
  </si>
  <si>
    <t>SD01897</t>
  </si>
  <si>
    <t>GEM-511687785170779,
Dt.-22.07.2022</t>
  </si>
  <si>
    <t>M/s. Singh Enterprises</t>
  </si>
  <si>
    <t>077-22-23, Dt.-22.07.2022</t>
  </si>
  <si>
    <t>M/s. RK Electronics</t>
  </si>
  <si>
    <t>85996,Dt.-25.07.2006</t>
  </si>
  <si>
    <t>P.O.-95, Dt.-19.03.2018</t>
  </si>
  <si>
    <t xml:space="preserve">Binocular </t>
  </si>
  <si>
    <t>M/s. Altaf H Vali</t>
  </si>
  <si>
    <t>7083, Dt.-19.03.2018</t>
  </si>
  <si>
    <t>M/s. Airtech System</t>
  </si>
  <si>
    <t>Po No 41 dt  09-13-2017</t>
  </si>
  <si>
    <t>GEMC-511687728279368,
Dt.- 07.27.2022</t>
  </si>
  <si>
    <t>M/s. Front Traders</t>
  </si>
  <si>
    <t>FT/0105/2022-23</t>
  </si>
  <si>
    <t>image</t>
  </si>
  <si>
    <t>ZK1A2220740492</t>
  </si>
  <si>
    <t>INA437SH5T</t>
  </si>
  <si>
    <t>P.O.- 03, Date- 27.04.2015</t>
  </si>
  <si>
    <t>INA523X4PZ</t>
  </si>
  <si>
    <t>R7Q2Y02843</t>
  </si>
  <si>
    <t>GEMC-511687769042288
Dt.-13.06.2023</t>
  </si>
  <si>
    <t>INA437SH6F</t>
  </si>
  <si>
    <t>INA9030041</t>
  </si>
  <si>
    <t>HP Compaq 6530</t>
  </si>
  <si>
    <t>P.O-92, Dt.- 29.01.2009</t>
  </si>
  <si>
    <t>R R Pheriferals</t>
  </si>
  <si>
    <t>539/2008</t>
  </si>
  <si>
    <t>INA615Q3PY</t>
  </si>
  <si>
    <t>Po No 46 Dt  22-09-2017</t>
  </si>
  <si>
    <t>33, Dt 03.10.2017</t>
  </si>
  <si>
    <t>R R Peripherals</t>
  </si>
  <si>
    <t>C-05/12/15</t>
  </si>
  <si>
    <t>Aditya Electronics</t>
  </si>
  <si>
    <t>7017, Dt.-31.12.2009</t>
  </si>
  <si>
    <t>P.O.-083, Dt. 12-26-2010</t>
  </si>
  <si>
    <t>PO N. 58, dt 29.09.2006</t>
  </si>
  <si>
    <t xml:space="preserve">NEC Solutions </t>
  </si>
  <si>
    <t>NEC- LCD TV- 50''</t>
  </si>
  <si>
    <t>Thirumala music center</t>
  </si>
  <si>
    <t>Linkquest</t>
  </si>
  <si>
    <t>DLQS/C1/07/2002</t>
  </si>
  <si>
    <t>FOX1210?H7RS</t>
  </si>
  <si>
    <t>PO No. 126 Dt 8.02.2008</t>
  </si>
  <si>
    <t>Nicsi</t>
  </si>
  <si>
    <t>Zee Technologies</t>
  </si>
  <si>
    <t>3434,dt 24.06.2013</t>
  </si>
  <si>
    <t>Carrior aircon ltd</t>
  </si>
  <si>
    <t>82107600069WL</t>
  </si>
  <si>
    <t>PO No. 77, 21.09.2007</t>
  </si>
  <si>
    <t>APS Technologies</t>
  </si>
  <si>
    <t xml:space="preserve">HCL </t>
  </si>
  <si>
    <t>61380-0586, 14.03.2009</t>
  </si>
  <si>
    <t>PO no.93,dt 29.01.2009</t>
  </si>
  <si>
    <t>Current Status  Working/Not-working /Obsolete</t>
  </si>
  <si>
    <t>Obsolete</t>
  </si>
  <si>
    <t>HV36LWRF17LBS27194</t>
  </si>
  <si>
    <t>P.O-60, Dt.-10.10.2018</t>
  </si>
  <si>
    <t>BTC 1220, Dt. 10.10.2018</t>
  </si>
  <si>
    <t>M/s. Bhupindra Trading Company</t>
  </si>
  <si>
    <t>HV36LWRF17IBS19653</t>
  </si>
  <si>
    <t>17EHNCV2FS20202</t>
  </si>
  <si>
    <t>Induction coocker</t>
  </si>
  <si>
    <t>P.O-67, Dt.-29.12.2017</t>
  </si>
  <si>
    <t>M/s. IT Cartridge</t>
  </si>
  <si>
    <t>17LHNCV2FS22271</t>
  </si>
  <si>
    <t>1113604733001863</t>
  </si>
  <si>
    <t>GEM-511687755763783
Dt.- 05.05.2023</t>
  </si>
  <si>
    <t>MAHESHWARI TECHNOLOGIES</t>
  </si>
  <si>
    <t>SAMSUNG 43'' LED</t>
  </si>
  <si>
    <t>GEMC-511687788486950,
Dt.- 03.05.2023</t>
  </si>
  <si>
    <t>BIGHUB SOLUTIONS PRIVATE LIMITED</t>
  </si>
  <si>
    <t>0APXHPAW200077N</t>
  </si>
  <si>
    <t>P.O-96, Dt.-26.03.2018</t>
  </si>
  <si>
    <t>M/s. Tumbi Furnitures</t>
  </si>
  <si>
    <t>ADITYA CORPORATION</t>
  </si>
  <si>
    <t>P.O-13, Dt.-10.05.2007</t>
  </si>
  <si>
    <t>M/s. Avanthi Business machunes limited</t>
  </si>
  <si>
    <t>Inv.-181, Dt.-16.05.2007</t>
  </si>
  <si>
    <t>AMIE/201705034</t>
  </si>
  <si>
    <t>Mobile Pedestal Draws</t>
  </si>
  <si>
    <t xml:space="preserve">All size Storage Units </t>
  </si>
  <si>
    <t xml:space="preserve">15 U racks </t>
  </si>
  <si>
    <t>PO - 121 Dt - 04.03.2024</t>
  </si>
  <si>
    <t xml:space="preserve">All in one PC </t>
  </si>
  <si>
    <t>Dell Inspiron 7720</t>
  </si>
  <si>
    <t xml:space="preserve">HP Printer </t>
  </si>
  <si>
    <t>CNCK515409</t>
  </si>
  <si>
    <t>Peadastal fans Bajaj</t>
  </si>
  <si>
    <t>GEMC-511687703697028,
Dt.- 07.06.2023</t>
  </si>
  <si>
    <t>GEMC-511687761056910,
Dt.- 05.06.2023</t>
  </si>
  <si>
    <t>P.O-92, Dt-19.03.2018</t>
  </si>
  <si>
    <t>M/s. Bajaj Electronics</t>
  </si>
  <si>
    <t>SUMER AXIS PRIVATE LIMITED</t>
  </si>
  <si>
    <t>Alluminium Ladder 8 feet</t>
  </si>
  <si>
    <t>Alluminium Ladder 5 feet</t>
  </si>
  <si>
    <t>Alluminium Ladder</t>
  </si>
  <si>
    <t>N.K. ENTERPRISES</t>
  </si>
  <si>
    <t>Hand Sanitizer Panel</t>
  </si>
  <si>
    <t>P.O-25, Dt- 25.08.2020</t>
  </si>
  <si>
    <t>M/s. Euronics Industries pvt ltd</t>
  </si>
  <si>
    <t>P O -61 Dt 10.10.2018</t>
  </si>
  <si>
    <t>Imperial Contenental</t>
  </si>
  <si>
    <t>Godrej Greta Mid back Chair conference room</t>
  </si>
  <si>
    <t>P O-78 Dt 21.01.2020</t>
  </si>
  <si>
    <t xml:space="preserve">Srinivas Marketing </t>
  </si>
  <si>
    <t>Sofa 3+1+1</t>
  </si>
  <si>
    <t>P O -97 Dt 26.03.2018</t>
  </si>
  <si>
    <t xml:space="preserve">Universal furnuture </t>
  </si>
  <si>
    <t>CHANDRAHAS ENTERPRISES</t>
  </si>
  <si>
    <t>GEMC-511687742774425, Dt 20-Dec-2021</t>
  </si>
  <si>
    <t>MARUTI SUZUKI INDIA LIMITED</t>
  </si>
  <si>
    <t>P O- 35 Dt 19.09.2016</t>
  </si>
  <si>
    <t>Ureka Forbes Ltd</t>
  </si>
  <si>
    <t>STPI Singn board (New)</t>
  </si>
  <si>
    <t>PO -53 Dt 07.03.2016</t>
  </si>
  <si>
    <t>SV Enterprises</t>
  </si>
  <si>
    <t xml:space="preserve">Pantry </t>
  </si>
  <si>
    <t xml:space="preserve">Table </t>
  </si>
  <si>
    <t>Po -02 Dt 01.04.2021</t>
  </si>
  <si>
    <t>IKEA India Pvt ltd</t>
  </si>
  <si>
    <t>Sofa</t>
  </si>
  <si>
    <t>Touchless Sanitizer Dispenser</t>
  </si>
  <si>
    <t>GEMC-511687776652296
 Dt 03-Jun-2022</t>
  </si>
  <si>
    <t>conference room</t>
  </si>
  <si>
    <t>CAR</t>
  </si>
  <si>
    <t>Maruti Ciaz Zeta SHVS
Petrol MT</t>
  </si>
  <si>
    <t>Open record  file Rack</t>
  </si>
  <si>
    <t>Exhaut fan</t>
  </si>
  <si>
    <t>P o -18 Dt 26.06.2014</t>
  </si>
  <si>
    <t xml:space="preserve">Kendiya Bandar </t>
  </si>
  <si>
    <t>Water Dispenser  Voltas</t>
  </si>
  <si>
    <t>P O 28 Dt 14.07.2017</t>
  </si>
  <si>
    <t xml:space="preserve">Gagan Eneter prises </t>
  </si>
  <si>
    <t>6210164A16D001144</t>
  </si>
  <si>
    <t>PO -44 Dt 16.08.2018</t>
  </si>
  <si>
    <t xml:space="preserve">Decent Marble and metal works </t>
  </si>
  <si>
    <t xml:space="preserve">Earth Tester </t>
  </si>
  <si>
    <t>Digital earth tester Waco</t>
  </si>
  <si>
    <t xml:space="preserve">Warangal </t>
  </si>
  <si>
    <t>GEMC-511687717225957 Dt 25-Aug-2021</t>
  </si>
  <si>
    <t>Batra Electronics</t>
  </si>
  <si>
    <t>P.O.-42, Dt.-2021-22</t>
  </si>
  <si>
    <t>GEM-511687721920429
Dt.- 29.12.2022</t>
  </si>
  <si>
    <t xml:space="preserve">Surya Home applience </t>
  </si>
  <si>
    <t>A001127</t>
  </si>
  <si>
    <t>P.O-45, Dt- 29.09.2009</t>
  </si>
  <si>
    <t>Prem Electricals</t>
  </si>
  <si>
    <t>563 Dt 10.10.2009</t>
  </si>
  <si>
    <t xml:space="preserve">Purbji Marketing </t>
  </si>
  <si>
    <t>2020-21</t>
  </si>
  <si>
    <t>PO 18 Dt 26.06.2014</t>
  </si>
  <si>
    <t xml:space="preserve">Wall mounting Fan </t>
  </si>
  <si>
    <t>P O -187 Dt 23.01.2002</t>
  </si>
  <si>
    <t>00063 Dt 08.02.2002</t>
  </si>
  <si>
    <t>Kavali Elecronics</t>
  </si>
  <si>
    <t>Mrotec</t>
  </si>
  <si>
    <t>Fibre Media Converter</t>
  </si>
  <si>
    <t>000E530E18E8</t>
  </si>
  <si>
    <t>Altusen- KVM Switch</t>
  </si>
  <si>
    <t xml:space="preserve">8 channel DVR  Avitech </t>
  </si>
  <si>
    <t xml:space="preserve">4 channel DVR  Avitech </t>
  </si>
  <si>
    <t xml:space="preserve">M/s TSIIC, </t>
  </si>
  <si>
    <t>STPH/2017-18/Modular workstation/01 to 211, STPH/2017-18/chairs /01 to 272</t>
  </si>
  <si>
    <t>PO -46 Dt 19.11.2013</t>
  </si>
  <si>
    <t>Excel office system</t>
  </si>
  <si>
    <t>Network equipment</t>
  </si>
  <si>
    <t>PO -25 Dt 01.02.2023</t>
  </si>
  <si>
    <t>J K Adds</t>
  </si>
  <si>
    <t xml:space="preserve">STPI glow  Sign board </t>
  </si>
  <si>
    <t xml:space="preserve">Excutive Glass Table </t>
  </si>
  <si>
    <t>PO -67 Dt 25.02.2014</t>
  </si>
  <si>
    <t>Jasjeet global impex</t>
  </si>
  <si>
    <t>PO 06 Dt 13.04.2017</t>
  </si>
  <si>
    <t xml:space="preserve">Prenex Systems </t>
  </si>
  <si>
    <t>Obsolute</t>
  </si>
  <si>
    <t>PO 64 Dt 27.10.2008</t>
  </si>
  <si>
    <t>RR Pheriferals</t>
  </si>
  <si>
    <t>FAN</t>
  </si>
  <si>
    <t>Peadastal fans</t>
  </si>
  <si>
    <t xml:space="preserve">Image 2nd   Floor </t>
  </si>
  <si>
    <t>Computers-peripherals</t>
  </si>
  <si>
    <t>TOTAL</t>
  </si>
  <si>
    <t>Idu:10016449,
Odu:5191569</t>
  </si>
  <si>
    <t>One at sub center</t>
  </si>
  <si>
    <t>500212016118002316 
ODU 500211713118002435</t>
  </si>
  <si>
    <t>PO -84 Dt 17.03.2011</t>
  </si>
  <si>
    <t xml:space="preserve">Kendriya bandar </t>
  </si>
  <si>
    <t>407 dt 26.05.2011</t>
  </si>
  <si>
    <t>4046 dt 9.01.2009</t>
  </si>
  <si>
    <t xml:space="preserve">Living style furnitures </t>
  </si>
  <si>
    <t>PO -71 dt 20.11.2008</t>
  </si>
  <si>
    <t>085 dt 02.01.2009</t>
  </si>
  <si>
    <t xml:space="preserve">Vijay furnitures </t>
  </si>
  <si>
    <t xml:space="preserve">Usha fire safety equipment </t>
  </si>
  <si>
    <t>000496 dt 30.06.2008</t>
  </si>
  <si>
    <t>PO-114 Dt 11.03.2003</t>
  </si>
  <si>
    <t xml:space="preserve">Tumbi office systems pvt ltd </t>
  </si>
  <si>
    <t>1650 dt 31.03.2003</t>
  </si>
  <si>
    <t>PO 75 dt 12.12.2005</t>
  </si>
  <si>
    <t xml:space="preserve">Godrej &amp; Mfg company ltd </t>
  </si>
  <si>
    <t>82J/15002364</t>
  </si>
  <si>
    <t>Mery fiar Chairs</t>
  </si>
  <si>
    <t>PO -16 dt 26.05.2006</t>
  </si>
  <si>
    <t xml:space="preserve">Monaarch seating pvt ltd </t>
  </si>
  <si>
    <t>88 dt 26.05.2006</t>
  </si>
  <si>
    <t>PO -31 dt 11.07.2006</t>
  </si>
  <si>
    <t>167 dt 11.07.2006</t>
  </si>
  <si>
    <t>Sattllite dishe - 9.3 M</t>
  </si>
  <si>
    <t>Sattllite dishe - 3.7 M</t>
  </si>
  <si>
    <t>Not  working</t>
  </si>
  <si>
    <t>PO-63 dt 20.01.2021</t>
  </si>
  <si>
    <t xml:space="preserve">Srinivasa Marketing </t>
  </si>
  <si>
    <t>1938 dt 20.01.2021</t>
  </si>
  <si>
    <t>Shaha Enterprises</t>
  </si>
  <si>
    <t>28.04.2021</t>
  </si>
  <si>
    <t>S301112272951</t>
  </si>
  <si>
    <t>Amazon</t>
  </si>
  <si>
    <t>4.05.2022</t>
  </si>
  <si>
    <t>04.01.1993</t>
  </si>
  <si>
    <t>22.03.1996</t>
  </si>
  <si>
    <t>PO  09 dt 30.06.1999</t>
  </si>
  <si>
    <t xml:space="preserve">Blow Plast </t>
  </si>
  <si>
    <t>19.12.2001</t>
  </si>
  <si>
    <t xml:space="preserve">Infosys Technologies ltd </t>
  </si>
  <si>
    <t xml:space="preserve">Infosys Technologied ltd </t>
  </si>
  <si>
    <t>PO 55,64, 3.10.2016,14.11.2019</t>
  </si>
  <si>
    <t xml:space="preserve">Monika Steel furniture </t>
  </si>
  <si>
    <t>PO 28 Dt 20.10.2015</t>
  </si>
  <si>
    <t xml:space="preserve">Shruthikesh industries </t>
  </si>
  <si>
    <t xml:space="preserve">Water Tanks 2000 Liters </t>
  </si>
  <si>
    <t>51163772478618 dt 31.01.2023</t>
  </si>
  <si>
    <t>PO 03, 3.04.1998</t>
  </si>
  <si>
    <t>PO 64,Dt  14.11.2019</t>
  </si>
  <si>
    <t>PO 55,Dt 10.03.2016</t>
  </si>
  <si>
    <t>PO 94 Dt 29.01.2010</t>
  </si>
  <si>
    <t>17.05.1993</t>
  </si>
  <si>
    <t>03-30-1995</t>
  </si>
  <si>
    <t xml:space="preserve">GKS agencies </t>
  </si>
  <si>
    <t>Rangoli interiors pvt ltd</t>
  </si>
  <si>
    <t>PO 104,121 Dt 23.10.2000, 19.06.2007</t>
  </si>
  <si>
    <t xml:space="preserve">Server rack </t>
  </si>
  <si>
    <t>PO 39 Dt 23.12.2015</t>
  </si>
  <si>
    <t>APWD President</t>
  </si>
  <si>
    <t xml:space="preserve">Leading minds nwt working systems </t>
  </si>
  <si>
    <t xml:space="preserve">Cafetaria Round Tables </t>
  </si>
  <si>
    <t xml:space="preserve">Trnsfered  from image </t>
  </si>
  <si>
    <t>04.02.2000</t>
  </si>
  <si>
    <t xml:space="preserve">Received along with interior works </t>
  </si>
  <si>
    <t xml:space="preserve">Cnference table </t>
  </si>
  <si>
    <t>07.09.2007</t>
  </si>
  <si>
    <t>Deltatec Solution</t>
  </si>
  <si>
    <t>FEFCFC0014</t>
  </si>
  <si>
    <t>Wooden File Rack</t>
  </si>
  <si>
    <t>M/s.Ram Info tech Secundrabad</t>
  </si>
  <si>
    <t>V/2140
24-07-2007</t>
  </si>
  <si>
    <t>PO 21
Dt 06-06-2018</t>
  </si>
  <si>
    <t>PO  56
Dt  23-07-2007</t>
  </si>
  <si>
    <t>PO 03, 12.07.1999</t>
  </si>
  <si>
    <t>435 dt 12.07.1999</t>
  </si>
  <si>
    <t>Rose wood Idol</t>
  </si>
  <si>
    <t>2987%2988, dt 14.06.2005</t>
  </si>
  <si>
    <t>young vogue</t>
  </si>
  <si>
    <t xml:space="preserve">Mobile, Nokia </t>
  </si>
  <si>
    <t>Hornex telecom</t>
  </si>
  <si>
    <t>269 dt 02.03.2006</t>
  </si>
  <si>
    <t>balaji mobiles</t>
  </si>
  <si>
    <t>32 dt 14.04.2006</t>
  </si>
  <si>
    <t>Aliens group reliance web world</t>
  </si>
  <si>
    <t>Mobile-classic 761</t>
  </si>
  <si>
    <t>Big C mobiles</t>
  </si>
  <si>
    <t>3578&amp;3580 dt 14.03.2008</t>
  </si>
  <si>
    <t>Filling cabinets</t>
  </si>
  <si>
    <t>4973/4974 dt 4.10.1991</t>
  </si>
  <si>
    <t>350 Dt  1.01.1993</t>
  </si>
  <si>
    <t xml:space="preserve">Mumtaz furnitures </t>
  </si>
  <si>
    <t>PO 183, dt 15.01.2002</t>
  </si>
  <si>
    <t>200102/1540, dt 22.02.2002</t>
  </si>
  <si>
    <t xml:space="preserve">interior works </t>
  </si>
  <si>
    <t>2527 Dt 10.04..1992</t>
  </si>
  <si>
    <t>2527/10.04.1992</t>
  </si>
  <si>
    <t>PO 50, dt 13.09.2008</t>
  </si>
  <si>
    <t>816, dt 12.11.2008</t>
  </si>
  <si>
    <t>PO 084 dt 19.07.2001</t>
  </si>
  <si>
    <t xml:space="preserve">MG Home &amp; office </t>
  </si>
  <si>
    <t>CR/who/255 dt 27.07.2001</t>
  </si>
  <si>
    <t>01 dt 2.04.2009</t>
  </si>
  <si>
    <t>Seating world</t>
  </si>
  <si>
    <t>04 dt 3.04.2009</t>
  </si>
  <si>
    <t>Director office</t>
  </si>
  <si>
    <t xml:space="preserve">PO  47
Dt 12/03/2012 </t>
  </si>
  <si>
    <t>076/14/03/2012</t>
  </si>
  <si>
    <t>Futhune Meda Hyderabad</t>
  </si>
  <si>
    <t xml:space="preserve">NCCF ltd </t>
  </si>
  <si>
    <t>007743, dt 20.01.1998</t>
  </si>
  <si>
    <t>Cameras</t>
  </si>
  <si>
    <t xml:space="preserve">HP Server </t>
  </si>
  <si>
    <t xml:space="preserve">Printers </t>
  </si>
  <si>
    <t>823/15002363</t>
  </si>
  <si>
    <t xml:space="preserve">Miscllinious  obsolute equipment </t>
  </si>
  <si>
    <t>Consolidated List at Hyderabad Centre</t>
  </si>
  <si>
    <t>HYDERABAD</t>
  </si>
  <si>
    <t>S.NO.</t>
  </si>
  <si>
    <t>Quantities</t>
  </si>
  <si>
    <t>Value</t>
  </si>
  <si>
    <t>NILL</t>
  </si>
  <si>
    <t>NIL</t>
  </si>
  <si>
    <t>SOFTWARE TECHNOLOGY PARKS OF INDIA HYDERABAD</t>
  </si>
  <si>
    <t>Printer</t>
  </si>
  <si>
    <t>SOFTWARE TECHNOLOGY PARKS OF INDIA 
HYDERABAD
FIXED ASSETS LIST FOR THE F.Y 2024-25</t>
  </si>
  <si>
    <t xml:space="preserve"> FEG3823U01D</t>
  </si>
  <si>
    <t>Sent to KKD</t>
  </si>
  <si>
    <t xml:space="preserve">Switches </t>
  </si>
  <si>
    <t xml:space="preserve">Cyber tpwer </t>
  </si>
  <si>
    <t>QXAA2G4022369</t>
  </si>
  <si>
    <t>D-Link 12 port DES-1024C</t>
  </si>
  <si>
    <t>Addition</t>
  </si>
  <si>
    <t xml:space="preserve">Updated location </t>
  </si>
  <si>
    <t xml:space="preserve">Transefered to bhuvaneswar </t>
  </si>
  <si>
    <t>to be delte from assets  retention to MK</t>
  </si>
  <si>
    <t>updated location , not in use</t>
  </si>
  <si>
    <t>INA615Q3QP</t>
  </si>
  <si>
    <t xml:space="preserve">Updated sl no. Not in use </t>
  </si>
  <si>
    <t xml:space="preserve">Updated location Not in use </t>
  </si>
  <si>
    <t>updated location</t>
  </si>
  <si>
    <t>HP440 G1</t>
  </si>
  <si>
    <t>INA436S7K2</t>
  </si>
  <si>
    <t xml:space="preserve">Desk top </t>
  </si>
  <si>
    <t>HP</t>
  </si>
  <si>
    <t>INA523X4N6</t>
  </si>
  <si>
    <t xml:space="preserve">printer </t>
  </si>
  <si>
    <t>701793530FRM4</t>
  </si>
  <si>
    <t>Lexmark MX421 ADE</t>
  </si>
  <si>
    <t>Dell Lattitude</t>
  </si>
  <si>
    <t>PSZ19281N3F</t>
  </si>
  <si>
    <t>updated sl no</t>
  </si>
  <si>
    <t xml:space="preserve">updated location </t>
  </si>
  <si>
    <t xml:space="preserve">upadated location </t>
  </si>
  <si>
    <t>20010760, PS23</t>
  </si>
  <si>
    <t>NA, PS 48</t>
  </si>
  <si>
    <t>NA, PS 24</t>
  </si>
  <si>
    <t>Air conditioners</t>
  </si>
  <si>
    <t xml:space="preserve">Voltas </t>
  </si>
  <si>
    <t xml:space="preserve">cyber towers </t>
  </si>
  <si>
    <t>GEMC-511687798510505,
Date : 17-Dec-2024</t>
  </si>
  <si>
    <t>M/s. Video Center</t>
  </si>
  <si>
    <t xml:space="preserve">Location updated </t>
  </si>
  <si>
    <t>Chair</t>
  </si>
  <si>
    <t>PURCHASE ORDER (G) No.01,
Date: 01.04.2024</t>
  </si>
  <si>
    <t>M/s Posture Furniture</t>
  </si>
  <si>
    <t>M/s. PSR IT SERVICES PVT. LTD</t>
  </si>
  <si>
    <t>DSLR Camera</t>
  </si>
  <si>
    <t xml:space="preserve">Camera </t>
  </si>
  <si>
    <t>PURCHASE ORDER (G) No.79,
Date: 26.11.2024</t>
  </si>
  <si>
    <t>M/s. V.G Chimalgi</t>
  </si>
  <si>
    <t xml:space="preserve">Land line phone </t>
  </si>
  <si>
    <t>M/s Techno Trade Agencies</t>
  </si>
  <si>
    <t xml:space="preserve">TV </t>
  </si>
  <si>
    <t>PURCHASE ORDER (G) No. 109,
Date: 14.02.2025</t>
  </si>
  <si>
    <t>M/S PSR IT Services Pvt. LTD</t>
  </si>
  <si>
    <t>PURCHASE ORDER (G) No. 110,
Date: 14.02.2025</t>
  </si>
  <si>
    <t xml:space="preserve">HP-All in One Colour printer </t>
  </si>
  <si>
    <t>M/s PSR IT Services Pvt. LTD</t>
  </si>
  <si>
    <t>PSRIT/2425/02783, 24.02.2025</t>
  </si>
  <si>
    <t>PSRIT/2425/02782, 14.02.2025</t>
  </si>
  <si>
    <t>VNF3200472</t>
  </si>
  <si>
    <t>Lenova V310</t>
  </si>
  <si>
    <t>LED TV- Sony</t>
  </si>
  <si>
    <t xml:space="preserve">Locker </t>
  </si>
  <si>
    <t xml:space="preserve">GA0215070393 to be replaced </t>
  </si>
  <si>
    <t>4513517D241A23659, 455467C24JC08218</t>
  </si>
  <si>
    <t xml:space="preserve">Telephone -penasonic </t>
  </si>
  <si>
    <t>1576, 30.12.2024</t>
  </si>
  <si>
    <t>JH/CR/2425/880, 3.12.2024</t>
  </si>
  <si>
    <t>KXTG350, KUPTG341</t>
  </si>
  <si>
    <t>PF/2425/002, 01.4.2024</t>
  </si>
  <si>
    <t>CR/1851/2425,24.12.2024</t>
  </si>
  <si>
    <t>HSDC</t>
  </si>
  <si>
    <t>Lap  top</t>
  </si>
  <si>
    <t>J9P6324175 - DC, 21.11.2014</t>
  </si>
  <si>
    <t>PO No 27, Dated :14.07.2014</t>
  </si>
  <si>
    <t>PO No 03, Dated :27.04.2015</t>
  </si>
  <si>
    <t>J9PA006498, Dt 26.06.2015</t>
  </si>
  <si>
    <t>updated</t>
  </si>
  <si>
    <t>LR0AWF7K</t>
  </si>
  <si>
    <t>P.O. 62,12/06/2017</t>
  </si>
  <si>
    <t>LT/INV/0149,30.03.2018</t>
  </si>
  <si>
    <t xml:space="preserve">Lan Times Technologies </t>
  </si>
  <si>
    <t>6.03.1995</t>
  </si>
  <si>
    <t>PSRIT/2425/01355, 02.09.2024</t>
  </si>
  <si>
    <t>Asset ID &amp; Barcode</t>
  </si>
  <si>
    <t>Obsolute /exchange given to Balaji eneterprices to be delete from assets</t>
  </si>
  <si>
    <t>PO No 69, Dated :10.12.2019</t>
  </si>
  <si>
    <t>Saibaba business machines pvt ltd</t>
  </si>
  <si>
    <t>2065, 30.12.2019</t>
  </si>
  <si>
    <t>STOCK REPORT OF HSDC Equipment  AT Hyderabad AS ON 31.03.2025</t>
  </si>
  <si>
    <t>STOCK REPORT OF Computers and Peripherals  AT Hyderabad AS ON 31.03.2025</t>
  </si>
  <si>
    <t>STOCK REPORT OF Electrical Equipment AT Hyderabad AS ON 31.03.2025</t>
  </si>
  <si>
    <t>STOCK REPORT OF Office Equipment  AT Hyderabad AS ON 31.03.2025</t>
  </si>
  <si>
    <t>STOCK REPORT OF Fire-Fighting Equipment AT Hyderabad AS ON 31.03.2025</t>
  </si>
  <si>
    <t>STOCK REPORT OF Value not working  and obsolute AT Hyderabad AS ON 31.03.2025</t>
  </si>
  <si>
    <t>STPI Hyd-SES -(Store)</t>
  </si>
  <si>
    <t>STPI Hyd-SES - (Main)</t>
  </si>
  <si>
    <t>STPI Hitec City (Cyber Tower Building)</t>
  </si>
  <si>
    <t>STPI -IMAGE Building-1st floor</t>
  </si>
  <si>
    <t>STPI -IMAGE Building-2nd  floor</t>
  </si>
  <si>
    <t>Light Fiitings</t>
  </si>
  <si>
    <t xml:space="preserve">2'*2' Light fittings </t>
  </si>
  <si>
    <t xml:space="preserve">2'*4* Light fittings </t>
  </si>
  <si>
    <t xml:space="preserve">Delux Chair </t>
  </si>
  <si>
    <t xml:space="preserve">Up Converter  C Band </t>
  </si>
  <si>
    <t># 0111</t>
  </si>
  <si>
    <t xml:space="preserve">Obsolete </t>
  </si>
  <si>
    <t>Sattllite modem SDM 300</t>
  </si>
  <si>
    <t># 982022815</t>
  </si>
  <si>
    <t xml:space="preserve">Down Converter </t>
  </si>
  <si>
    <t># 104</t>
  </si>
  <si>
    <t>C Band SFC 4200</t>
  </si>
  <si>
    <t># 0603</t>
  </si>
  <si>
    <t xml:space="preserve">Tracking Receiver </t>
  </si>
  <si>
    <t># VC55-0061</t>
  </si>
  <si>
    <t># VC10411</t>
  </si>
  <si>
    <t xml:space="preserve">IF Combiners </t>
  </si>
  <si>
    <t># 235</t>
  </si>
  <si>
    <t># 198</t>
  </si>
  <si>
    <t># 3202U00641</t>
  </si>
  <si>
    <t>Telecom Analyzer (HP)</t>
  </si>
  <si>
    <t>Sat com Division</t>
  </si>
  <si>
    <t># 10327</t>
  </si>
  <si>
    <t xml:space="preserve">GPS </t>
  </si>
  <si>
    <t># 150100348</t>
  </si>
  <si>
    <t>KU band  LNB</t>
  </si>
  <si>
    <t># 01310</t>
  </si>
  <si>
    <t xml:space="preserve">Sun lite  E1 Tester </t>
  </si>
  <si>
    <t># E10050002164</t>
  </si>
  <si>
    <t xml:space="preserve">Freequency counter </t>
  </si>
  <si>
    <t># 5350B</t>
  </si>
  <si>
    <t>ODU Power Supply DT 7000</t>
  </si>
  <si>
    <t># DT 7000</t>
  </si>
  <si>
    <t xml:space="preserve">Access control checkmate </t>
  </si>
  <si>
    <t># T05B177</t>
  </si>
  <si>
    <t>Agilent Spectrum Analyzer</t>
  </si>
  <si>
    <t xml:space="preserve">Antenas DTS </t>
  </si>
  <si>
    <t>2' feet antennas browin</t>
  </si>
  <si>
    <t>3' feet antenna</t>
  </si>
  <si>
    <t xml:space="preserve">4 feet S band antenna </t>
  </si>
  <si>
    <t>Browin bridges</t>
  </si>
  <si>
    <t># 45F02F2CE7A/334, 45EF02ADF3C4/334, MDWMBW-0157</t>
  </si>
  <si>
    <t>Radwin ODU</t>
  </si>
  <si>
    <t>MFIS PIDE 01-08-0192</t>
  </si>
  <si>
    <t xml:space="preserve">Access control </t>
  </si>
  <si>
    <t>Asplit air conditioners</t>
  </si>
  <si>
    <t xml:space="preserve">2Ton Split ac carrier </t>
  </si>
  <si>
    <t># 500021447022002000</t>
  </si>
  <si>
    <t># 500021797022000799</t>
  </si>
  <si>
    <t># 500021703032000050</t>
  </si>
  <si>
    <t>1 Ton Split ac  Carrier</t>
  </si>
  <si>
    <t>Fridge</t>
  </si>
  <si>
    <t># 110708260115801947</t>
  </si>
  <si>
    <t>Vediocon- 9091DLK</t>
  </si>
  <si>
    <t>Fans</t>
  </si>
  <si>
    <t xml:space="preserve">Wall mounting fan </t>
  </si>
  <si>
    <t># 00600224</t>
  </si>
  <si>
    <t>Exhuast fan (CG)</t>
  </si>
  <si>
    <t>Pedastal Fan (USHA)</t>
  </si>
  <si>
    <t># 3020241</t>
  </si>
  <si>
    <t># CAA466, NA</t>
  </si>
  <si>
    <t xml:space="preserve">Fire Fighting Equipment </t>
  </si>
  <si>
    <t>Co2 Gas 4.5 KG Fire Extinguisher –( Carbon Dioxide Fire Extinguisher)</t>
  </si>
  <si>
    <t xml:space="preserve">Co2 Gas 6.5 KG Fire Extinguisher –( Carbon Dioxide Fire Extinguisher) </t>
  </si>
  <si>
    <t>DCP 6 Kg DRY Chemical Powder Fire Extinguisher –( Sodium Bi Carbonate base as per IS 4308 with ISI per KG Fire Extinguisher)</t>
  </si>
  <si>
    <t>Water Co2  9 Letters   Stored Pressure Fire Extinguisher</t>
  </si>
  <si>
    <t>Water Co2 9 Letters   Stored Pressure Fire Extinguisher</t>
  </si>
  <si>
    <t xml:space="preserve">Co2 Gas 4.5 KG Fire Extinguisher –(Carbon Dioxide Fire Extinguisher) </t>
  </si>
  <si>
    <t xml:space="preserve"> 731, 732, 733, 734, 735. </t>
  </si>
  <si>
    <t xml:space="preserve"> 521, 522.</t>
  </si>
  <si>
    <t xml:space="preserve">  141, 142.</t>
  </si>
  <si>
    <t xml:space="preserve"> 651, 652</t>
  </si>
  <si>
    <t xml:space="preserve"> 736, 737</t>
  </si>
  <si>
    <t>RTRTCS0001</t>
  </si>
  <si>
    <t>RTRTCS0002</t>
  </si>
  <si>
    <t>RTRTCS0003</t>
  </si>
  <si>
    <t>RTRTCS0004</t>
  </si>
  <si>
    <t>RTRTCS0005</t>
  </si>
  <si>
    <t>RTRTCS0006</t>
  </si>
  <si>
    <t>RTRTCS0007</t>
  </si>
  <si>
    <t>RTRTCS0008</t>
  </si>
  <si>
    <t>RTRTCS0009</t>
  </si>
  <si>
    <t>RTRTCS0010</t>
  </si>
  <si>
    <t>RTRTCS0011</t>
  </si>
  <si>
    <t>RTRTCS0012</t>
  </si>
  <si>
    <t>RTRTCS0013</t>
  </si>
  <si>
    <t>STCCLS0012</t>
  </si>
  <si>
    <t>RTRTRT0009</t>
  </si>
  <si>
    <t>STSWCt0004</t>
  </si>
  <si>
    <t>STSWCt0005</t>
  </si>
  <si>
    <t>STSWCt0006</t>
  </si>
  <si>
    <t>STSWCt0007</t>
  </si>
  <si>
    <t>STSWCt0008</t>
  </si>
  <si>
    <t>STSWCt0009</t>
  </si>
  <si>
    <t>STSWCt0010</t>
  </si>
  <si>
    <t>STSWCt0011</t>
  </si>
  <si>
    <t>STSWCt0012</t>
  </si>
  <si>
    <t>STJPSW0015</t>
  </si>
  <si>
    <t>STJPSW0016</t>
  </si>
  <si>
    <t>STJPSW0017</t>
  </si>
  <si>
    <t>STJPSW0018</t>
  </si>
  <si>
    <t>STJPSW0019</t>
  </si>
  <si>
    <t>STJPSW0020</t>
  </si>
  <si>
    <t>STJPSW0021</t>
  </si>
  <si>
    <t>STJPE30001</t>
  </si>
  <si>
    <t>STJPE30002</t>
  </si>
  <si>
    <t>STJPE30003</t>
  </si>
  <si>
    <t>STJPE30004</t>
  </si>
  <si>
    <t>STJPE30005</t>
  </si>
  <si>
    <t>STJPE40001</t>
  </si>
  <si>
    <t>STJPE40002</t>
  </si>
  <si>
    <t>STJPE40003</t>
  </si>
  <si>
    <t>STJPE40004</t>
  </si>
  <si>
    <t>STRKRP0001</t>
  </si>
  <si>
    <t>STRKRP0002</t>
  </si>
  <si>
    <t>STRKRP0003</t>
  </si>
  <si>
    <t>STRKRP0004</t>
  </si>
  <si>
    <t>STRKRP0005</t>
  </si>
  <si>
    <t>RTRTCS0014</t>
  </si>
  <si>
    <t>RTRTRT0008</t>
  </si>
  <si>
    <t>RTRTCS0015</t>
  </si>
  <si>
    <t>RTJRMX0001</t>
  </si>
  <si>
    <t>RTJRM10001</t>
  </si>
  <si>
    <t>RTJRM10002</t>
  </si>
  <si>
    <t>RTDECR0001</t>
  </si>
  <si>
    <t>RTRTWi0011</t>
  </si>
  <si>
    <t>WFAPCA0001</t>
  </si>
  <si>
    <t>WFAPCA0002</t>
  </si>
  <si>
    <t>WFAPCA0003</t>
  </si>
  <si>
    <t>WFAPCA0004</t>
  </si>
  <si>
    <t>WFAPCA0005</t>
  </si>
  <si>
    <t>NENENE0004</t>
  </si>
  <si>
    <t>MDWMCA0001</t>
  </si>
  <si>
    <t>MDWMCA0002</t>
  </si>
  <si>
    <t>MDWMCA0005</t>
  </si>
  <si>
    <t>MDWMCA0009</t>
  </si>
  <si>
    <t>MDWMCA0022</t>
  </si>
  <si>
    <t>MDWMCA0023</t>
  </si>
  <si>
    <t>MDWMCA0024</t>
  </si>
  <si>
    <t>MDWMCA0025</t>
  </si>
  <si>
    <t>MDWMCA0026</t>
  </si>
  <si>
    <t>MDWMCA0027</t>
  </si>
  <si>
    <t>MDWMCA0042</t>
  </si>
  <si>
    <t>MDWMCA0043</t>
  </si>
  <si>
    <t>MDWMCA0044</t>
  </si>
  <si>
    <t>MDWMCA0045</t>
  </si>
  <si>
    <t>MDWMCA0046</t>
  </si>
  <si>
    <t>MDWMCA0048</t>
  </si>
  <si>
    <t>MDWMCA0049</t>
  </si>
  <si>
    <t>ATwlCF0001</t>
  </si>
  <si>
    <t>ATwlCF0002</t>
  </si>
  <si>
    <t>ATwlCF0003</t>
  </si>
  <si>
    <t>ATwlCF0004</t>
  </si>
  <si>
    <t>ATwlCF0005</t>
  </si>
  <si>
    <t>ATwlCF0006</t>
  </si>
  <si>
    <t>ATwlCF0007</t>
  </si>
  <si>
    <t>ATwlCF0008</t>
  </si>
  <si>
    <t>CBCFCF0001</t>
  </si>
  <si>
    <t>CBCFCF0002</t>
  </si>
  <si>
    <t>CBCFCF0003</t>
  </si>
  <si>
    <t>CBCFCF0006</t>
  </si>
  <si>
    <t>CBCFCF0008</t>
  </si>
  <si>
    <t>CBCFCF0009</t>
  </si>
  <si>
    <t>AWWBWB0001</t>
  </si>
  <si>
    <t>AWWBWB0002</t>
  </si>
  <si>
    <t>AWWBWB0003</t>
  </si>
  <si>
    <t>AWWBWB0004</t>
  </si>
  <si>
    <t>AWWBWB0005</t>
  </si>
  <si>
    <t>AWWBWB0006</t>
  </si>
  <si>
    <t>AWWBWB0007</t>
  </si>
  <si>
    <t>AWWBWB0008</t>
  </si>
  <si>
    <t>AWWBWB0009</t>
  </si>
  <si>
    <t>AWWBWB0010</t>
  </si>
  <si>
    <t>MDRMSF0002</t>
  </si>
  <si>
    <t>MDRMSF0001</t>
  </si>
  <si>
    <t>MDRMSF0004</t>
  </si>
  <si>
    <t>MDRMSF0003</t>
  </si>
  <si>
    <t>WFAPRK0006</t>
  </si>
  <si>
    <t>WFAPRK0002</t>
  </si>
  <si>
    <t>WFAPRK0003</t>
  </si>
  <si>
    <t>WFAPRK0004</t>
  </si>
  <si>
    <t>WFAPRK0005</t>
  </si>
  <si>
    <t>WFAPRR0001</t>
  </si>
  <si>
    <t>WFAPRR0002</t>
  </si>
  <si>
    <t>WFAPRR0003</t>
  </si>
  <si>
    <t>WFAPRR0004</t>
  </si>
  <si>
    <t>WFAPRR0005</t>
  </si>
  <si>
    <t>PCPCLN0002</t>
  </si>
  <si>
    <t>PCPCLN0003</t>
  </si>
  <si>
    <t>PCPCLN0007</t>
  </si>
  <si>
    <t>PCPCLN0008</t>
  </si>
  <si>
    <t>PCPCLN0012</t>
  </si>
  <si>
    <t>PCPCLN0013</t>
  </si>
  <si>
    <t>PCPCLN0014</t>
  </si>
  <si>
    <t>PCPCLN0017</t>
  </si>
  <si>
    <t>PCPCLN0021</t>
  </si>
  <si>
    <t>PCPCLN0022</t>
  </si>
  <si>
    <t>PCPCLN0023</t>
  </si>
  <si>
    <t>PCPCLN0020</t>
  </si>
  <si>
    <t>DTADAD0001</t>
  </si>
  <si>
    <t>DTADAD0002</t>
  </si>
  <si>
    <t>DTADAD0003</t>
  </si>
  <si>
    <t>DTADAD0004</t>
  </si>
  <si>
    <t>DTADAD0005</t>
  </si>
  <si>
    <t>DTADAD0006</t>
  </si>
  <si>
    <t>DTADAD0007</t>
  </si>
  <si>
    <t>DTADAD0008</t>
  </si>
  <si>
    <t>DTADAD0009</t>
  </si>
  <si>
    <t>DTADAD0010</t>
  </si>
  <si>
    <t>DTADAD0011</t>
  </si>
  <si>
    <t>DTADAD0012</t>
  </si>
  <si>
    <t>DTADAD0013</t>
  </si>
  <si>
    <t>DTADAD0014</t>
  </si>
  <si>
    <t>DTADAD0015</t>
  </si>
  <si>
    <t>PCHLHL0010</t>
  </si>
  <si>
    <t>PCHLHL0008</t>
  </si>
  <si>
    <t>PCHLHL0002</t>
  </si>
  <si>
    <t>PCHLHL0001</t>
  </si>
  <si>
    <t>PCHLHL0009</t>
  </si>
  <si>
    <t>PCHLHL0006</t>
  </si>
  <si>
    <t>PCHLHL0003</t>
  </si>
  <si>
    <t>PCHLHL0007</t>
  </si>
  <si>
    <t>PCHLHL0005</t>
  </si>
  <si>
    <t>PCHLHL0012</t>
  </si>
  <si>
    <t>PCHLHL0011</t>
  </si>
  <si>
    <t>PCHLHL0004</t>
  </si>
  <si>
    <t>PCPCDT0009</t>
  </si>
  <si>
    <t>PCPCDT0052</t>
  </si>
  <si>
    <t>PCPCDT0028</t>
  </si>
  <si>
    <t>PCPCDT0038</t>
  </si>
  <si>
    <t>PCPCDT0016</t>
  </si>
  <si>
    <t>PCPCDT0048</t>
  </si>
  <si>
    <t>PCPCDT0047</t>
  </si>
  <si>
    <t>PCPCDT0051</t>
  </si>
  <si>
    <t>PCPCDT0046</t>
  </si>
  <si>
    <t>PCPCDT0045</t>
  </si>
  <si>
    <t>PCPCDT0032</t>
  </si>
  <si>
    <t>PCPCDT0013</t>
  </si>
  <si>
    <t>PCADDI0002</t>
  </si>
  <si>
    <t>LPLLV30008</t>
  </si>
  <si>
    <t>LPLLLL0002</t>
  </si>
  <si>
    <t>LPDLDL0001</t>
  </si>
  <si>
    <t>LPDLDL0002</t>
  </si>
  <si>
    <t>LPDLDL0004</t>
  </si>
  <si>
    <t>LPDLDL0005</t>
  </si>
  <si>
    <t>LPDLDL0003</t>
  </si>
  <si>
    <t>LPDLDL0030</t>
  </si>
  <si>
    <t>LPDLDL0029</t>
  </si>
  <si>
    <t>LPDLDV0005</t>
  </si>
  <si>
    <t>LPDLDV0006</t>
  </si>
  <si>
    <t>LPDLDV0004</t>
  </si>
  <si>
    <t>LPDLDV0001</t>
  </si>
  <si>
    <t>LPDLDV0010</t>
  </si>
  <si>
    <t>LPDLDV0007</t>
  </si>
  <si>
    <t>LPDLDL0027</t>
  </si>
  <si>
    <t>LPDLDV0008</t>
  </si>
  <si>
    <t>LPDLDL0016</t>
  </si>
  <si>
    <t>LPDLDL0013</t>
  </si>
  <si>
    <t>LPDLDL0014</t>
  </si>
  <si>
    <t>LPDLDL0012</t>
  </si>
  <si>
    <t>LPDLDL0011</t>
  </si>
  <si>
    <t>LPDLDL0015</t>
  </si>
  <si>
    <t>LPDLDL0023</t>
  </si>
  <si>
    <t>LPDLDL0024</t>
  </si>
  <si>
    <t>LPDLDL0025</t>
  </si>
  <si>
    <t>LPDLDL0026</t>
  </si>
  <si>
    <t>LPHPHL0003</t>
  </si>
  <si>
    <t>LPHPHL0004</t>
  </si>
  <si>
    <t>LPHPHL0002</t>
  </si>
  <si>
    <t>LPHPHL0001</t>
  </si>
  <si>
    <t>LPHPHL0006</t>
  </si>
  <si>
    <t>LPHPHL0005</t>
  </si>
  <si>
    <t>PTHPPT0008</t>
  </si>
  <si>
    <t>PTHPLJ0002</t>
  </si>
  <si>
    <t>PTHPLJ0001</t>
  </si>
  <si>
    <t>PTHPLJ0003</t>
  </si>
  <si>
    <t>PTHPPR0008</t>
  </si>
  <si>
    <t>PTHPHL0001</t>
  </si>
  <si>
    <t>PTMFHM0001</t>
  </si>
  <si>
    <t>PTHCHC0001</t>
  </si>
  <si>
    <t>PTMFP40001</t>
  </si>
  <si>
    <t>PTMFDW0002</t>
  </si>
  <si>
    <t>LMEPLW0001</t>
  </si>
  <si>
    <t>PTMF1N0001</t>
  </si>
  <si>
    <t>PTKCES0002</t>
  </si>
  <si>
    <t>PTKCES0008</t>
  </si>
  <si>
    <t>PTKCES0006</t>
  </si>
  <si>
    <t>PTKCES0005</t>
  </si>
  <si>
    <t xml:space="preserve"> PTKCES0004</t>
  </si>
  <si>
    <t>PTKCKE0001</t>
  </si>
  <si>
    <t>PTHPHP0003</t>
  </si>
  <si>
    <t>PTHPHP0002</t>
  </si>
  <si>
    <t>PTHPHP0004</t>
  </si>
  <si>
    <t>PTCMF0002</t>
  </si>
  <si>
    <t>PTc MF0001</t>
  </si>
  <si>
    <t>PTLPMX0003</t>
  </si>
  <si>
    <t>SXSXSH0001</t>
  </si>
  <si>
    <t>WUWUNA0001</t>
  </si>
  <si>
    <t>SENSNA0002</t>
  </si>
  <si>
    <t>SENSNA0003</t>
  </si>
  <si>
    <t>SENSNA0001</t>
  </si>
  <si>
    <t>SRSRFS0003</t>
  </si>
  <si>
    <t>SRSRNE0001</t>
  </si>
  <si>
    <t>SRSRSH0011</t>
  </si>
  <si>
    <t>SRSRSH0010</t>
  </si>
  <si>
    <t>SRSRSH0001</t>
  </si>
  <si>
    <t>SRSRSH0002</t>
  </si>
  <si>
    <t>SRSRSH0012</t>
  </si>
  <si>
    <t>DTDWDW0001</t>
  </si>
  <si>
    <t>SCSCDS0001</t>
  </si>
  <si>
    <t>SCSCAC0001</t>
  </si>
  <si>
    <t>PLPRPR0001</t>
  </si>
  <si>
    <t>SECCCC0023</t>
  </si>
  <si>
    <t>LE65LG0001</t>
  </si>
  <si>
    <t>LE65LG0002</t>
  </si>
  <si>
    <t>TVSSST0005</t>
  </si>
  <si>
    <t>ASTVTV0002</t>
  </si>
  <si>
    <t>SSSTSS0001</t>
  </si>
  <si>
    <t>TVSSST0004</t>
  </si>
  <si>
    <t>LPHPpb0006</t>
  </si>
  <si>
    <t xml:space="preserve"> PTHCHC0002</t>
  </si>
  <si>
    <t>PCPCDT0037</t>
  </si>
  <si>
    <t xml:space="preserve"> FXDGDG0001</t>
  </si>
  <si>
    <t>FXDGDG0004</t>
  </si>
  <si>
    <t>ElTRTR0001</t>
  </si>
  <si>
    <t>ElACAC0006</t>
  </si>
  <si>
    <t>ElACCR0034</t>
  </si>
  <si>
    <t>ElAC2T0006</t>
  </si>
  <si>
    <t>ElAC2T0007</t>
  </si>
  <si>
    <t>ElAC2T0008</t>
  </si>
  <si>
    <t>ElAC9T0001</t>
  </si>
  <si>
    <t>ElACCR0036</t>
  </si>
  <si>
    <t>ElAC2T0002</t>
  </si>
  <si>
    <t>ElAC2T0003</t>
  </si>
  <si>
    <t>ElAC2T0004</t>
  </si>
  <si>
    <t>ElAC2T0005</t>
  </si>
  <si>
    <t>ElACTS0005</t>
  </si>
  <si>
    <t>ElACCR0043</t>
  </si>
  <si>
    <t>ElACCR0044</t>
  </si>
  <si>
    <t>ElAC2T0009</t>
  </si>
  <si>
    <t>CMHIHI0001</t>
  </si>
  <si>
    <t>CMHIHI0002</t>
  </si>
  <si>
    <t>CMHIHI0003</t>
  </si>
  <si>
    <t>CMHIHI0004</t>
  </si>
  <si>
    <t>CMHIHI0005</t>
  </si>
  <si>
    <t>CMHIHI0010</t>
  </si>
  <si>
    <t>CMHIHI0011</t>
  </si>
  <si>
    <t>CMHIHI0012</t>
  </si>
  <si>
    <t>CMHIHI0013</t>
  </si>
  <si>
    <t>CMHIHI0006</t>
  </si>
  <si>
    <t>CMHIHI0007</t>
  </si>
  <si>
    <t>CMHIHI0008</t>
  </si>
  <si>
    <t>CMHIHI0009</t>
  </si>
  <si>
    <t>HNNCMH0001</t>
  </si>
  <si>
    <t>HNNCMH0002</t>
  </si>
  <si>
    <t>BAFBFR0001</t>
  </si>
  <si>
    <t>BAFBFR0002</t>
  </si>
  <si>
    <t>BAFBFR0003</t>
  </si>
  <si>
    <t>FNWFWF0007</t>
  </si>
  <si>
    <t>FNWFWF0008</t>
  </si>
  <si>
    <t>FNWFHF0013</t>
  </si>
  <si>
    <t>FFFFEF0008</t>
  </si>
  <si>
    <t>FFFFEF0012</t>
  </si>
  <si>
    <t>GMGPGS0002</t>
  </si>
  <si>
    <t>ERDTMM0001</t>
  </si>
  <si>
    <t>ERDTMM0002</t>
  </si>
  <si>
    <t>PFBFPB0034</t>
  </si>
  <si>
    <t>DMhdDR0001</t>
  </si>
  <si>
    <t>PFPFPF0001</t>
  </si>
  <si>
    <t>PFPFPF0002</t>
  </si>
  <si>
    <t>PFBFPB0002</t>
  </si>
  <si>
    <t>ASPSPX0002</t>
  </si>
  <si>
    <t>WDWDWD0015</t>
  </si>
  <si>
    <t>WDWDWD0016</t>
  </si>
  <si>
    <t>BNNKNB0001</t>
  </si>
  <si>
    <t>ElRGSR0001</t>
  </si>
  <si>
    <t>IHPHPI0003</t>
  </si>
  <si>
    <t>IHPHPI0001</t>
  </si>
  <si>
    <t>IHPHPI0002</t>
  </si>
  <si>
    <t>FXOEVC0011</t>
  </si>
  <si>
    <t>WDWDWD0013</t>
  </si>
  <si>
    <t>WDWDWD0014</t>
  </si>
  <si>
    <t>WDWDWD0022</t>
  </si>
  <si>
    <t>SGSGsg0042</t>
  </si>
  <si>
    <t>FNWFHF0002</t>
  </si>
  <si>
    <t>PHOECP0008</t>
  </si>
  <si>
    <t>VCVCVC0001</t>
  </si>
  <si>
    <t>CMCMCM0006</t>
  </si>
  <si>
    <t>SGSGsg0001</t>
  </si>
  <si>
    <t>SGGSGS0001</t>
  </si>
  <si>
    <t>MBSMSG0002</t>
  </si>
  <si>
    <t>CPCHGL0001</t>
  </si>
  <si>
    <t>GRGRGR0001</t>
  </si>
  <si>
    <t>OEPSPS0002</t>
  </si>
  <si>
    <t>OEPSTS0001</t>
  </si>
  <si>
    <t>pssmAH0001</t>
  </si>
  <si>
    <t>MSMCMC0001</t>
  </si>
  <si>
    <t>STOCK REPORT OF Furnitures&amp; Fixtures  AT Hyderabad AS ON 31.03.2025</t>
  </si>
  <si>
    <t xml:space="preserve">             </t>
  </si>
  <si>
    <t>701793530FRLS</t>
  </si>
  <si>
    <t>701793530G4FZ</t>
  </si>
  <si>
    <t xml:space="preserve"> PTLPMX0001</t>
  </si>
  <si>
    <t>PTLPMX0002</t>
  </si>
  <si>
    <t>AC1TVA0005</t>
  </si>
  <si>
    <t>Identified obsolute AT Jubilee Hills Hyderabad AS ON 31.03.2025</t>
  </si>
  <si>
    <t xml:space="preserve">Current Status  </t>
  </si>
  <si>
    <t>GEMC-511687762994702
dt: 17-02-2023</t>
  </si>
  <si>
    <t xml:space="preserve"> Gem -511687740508372, Dt.-12.08.2023</t>
  </si>
  <si>
    <t>ODU 500324047159000857
IDU500315047159001038</t>
  </si>
  <si>
    <t>GEMC-511687766773309
16-06-2022</t>
  </si>
  <si>
    <t>Httpcart Technologies Pvt.Ltd</t>
  </si>
  <si>
    <t>GEMC-511687718469133
26-08-2022</t>
  </si>
  <si>
    <t>GEMC-511687712104700, 26-06-2023</t>
  </si>
  <si>
    <t>E8UB08QTB47S</t>
  </si>
  <si>
    <t>E8UB07RVFRBD</t>
  </si>
  <si>
    <t>E8UB07SCJNSL</t>
  </si>
  <si>
    <t>SUMMARY OF BUILDINGS AT  Hyderabad  AS ON 31.03.2025</t>
  </si>
  <si>
    <t>Identified absolute and not working  Items</t>
  </si>
  <si>
    <t>miscellaneous</t>
  </si>
  <si>
    <t xml:space="preserve">Electrical cabels and wires etc </t>
  </si>
  <si>
    <t>LS</t>
  </si>
  <si>
    <t>ACBIEX0001</t>
  </si>
  <si>
    <t>ACBIEX0002</t>
  </si>
  <si>
    <t>UPKVSR0001</t>
  </si>
  <si>
    <t>FXEIPS0001</t>
  </si>
  <si>
    <t xml:space="preserve"> FXEIPS0002</t>
  </si>
  <si>
    <t>FXEIPS0003</t>
  </si>
  <si>
    <t>FXEIPS0004</t>
  </si>
  <si>
    <t>FXEIPS0005</t>
  </si>
  <si>
    <t>AMS barcode</t>
  </si>
  <si>
    <t>FEFEFE0056 
FEFEFE0057
FEFEFE0058
FEFEFE0059
FEFEFE0060
FEFEFE0061</t>
  </si>
  <si>
    <t>100AH Exide SMF bateries</t>
  </si>
  <si>
    <t>Old SMF batteries</t>
  </si>
  <si>
    <t>FFFMCY0001</t>
  </si>
  <si>
    <t>FAFACP0004</t>
  </si>
  <si>
    <t>0/14/2007-08</t>
  </si>
  <si>
    <t>K15BN 9221747</t>
  </si>
  <si>
    <t>CMscsc0001</t>
  </si>
  <si>
    <t>GODREJ SAFETY LOCKER</t>
  </si>
  <si>
    <t>PO No. 63, Dt : 25.01.2021</t>
  </si>
  <si>
    <t>ALGCGG0001</t>
  </si>
  <si>
    <t xml:space="preserve">M/s Srinivasa Marketing </t>
  </si>
  <si>
    <t>ElACTS0006</t>
  </si>
  <si>
    <t>ElACTS0010</t>
  </si>
  <si>
    <t>AMS Barcode</t>
  </si>
  <si>
    <t>PO No.57, 23.09.1998</t>
  </si>
  <si>
    <t>ElAPAL0005</t>
  </si>
  <si>
    <t>ElAPAL0006</t>
  </si>
  <si>
    <t>ElUPUP0015</t>
  </si>
  <si>
    <t>EQATAP0001</t>
  </si>
  <si>
    <t>Not In use</t>
  </si>
  <si>
    <t>5A1341T01763/541430T13598</t>
  </si>
  <si>
    <t>Po No.48 Dat: 13-11-2014</t>
  </si>
  <si>
    <t>ElDURU0001</t>
  </si>
  <si>
    <t>ElDURU0002</t>
  </si>
  <si>
    <t>ElDURU0004</t>
  </si>
  <si>
    <t>ElDURU0005</t>
  </si>
  <si>
    <t>EQPDDU0002</t>
  </si>
  <si>
    <t>63000099, 03.12.2013</t>
  </si>
  <si>
    <t>APW president Systems Ltd</t>
  </si>
  <si>
    <t>ElUPUP0009</t>
  </si>
  <si>
    <t>ElUPUP0018</t>
  </si>
  <si>
    <t>ACGTEM0005</t>
  </si>
  <si>
    <t>ACGTEM0006</t>
  </si>
  <si>
    <t>SECCCC0008</t>
  </si>
  <si>
    <t>SECCCC0010</t>
  </si>
  <si>
    <t>SECCCC0011</t>
  </si>
  <si>
    <t>SECCCC0012</t>
  </si>
  <si>
    <t>SECCCC0013</t>
  </si>
  <si>
    <t>SECCCC0014</t>
  </si>
  <si>
    <t>SECCCC0016</t>
  </si>
  <si>
    <t>SECCCC0018</t>
  </si>
  <si>
    <t>SECCCC0019</t>
  </si>
  <si>
    <t>ElFEFD0001</t>
  </si>
  <si>
    <t>PTHPPT0016</t>
  </si>
  <si>
    <t>PTHPPT0020</t>
  </si>
  <si>
    <t xml:space="preserve"> PTHPPT0018</t>
  </si>
  <si>
    <t>PTHPPT0021</t>
  </si>
  <si>
    <t>PTHPPT0019</t>
  </si>
  <si>
    <t>PTHPPT0017</t>
  </si>
  <si>
    <t xml:space="preserve">updated </t>
  </si>
  <si>
    <t>SEccCC0006</t>
  </si>
  <si>
    <t>HSHPHK0001</t>
  </si>
  <si>
    <t>HSHPHK0002</t>
  </si>
  <si>
    <t>STSWDL0001</t>
  </si>
  <si>
    <t>TVSTST0001</t>
  </si>
  <si>
    <t>PHOEPP0005
PHOEPP0006</t>
  </si>
  <si>
    <t>STPH/PURCHASE/2024-
25/DEC/PG/90/7484</t>
  </si>
  <si>
    <t>EIEIEI0023</t>
  </si>
  <si>
    <t>STPH/PRJ-012/2013-
2014/5626</t>
  </si>
  <si>
    <t>BK07DY3</t>
  </si>
  <si>
    <t>LPDLDL0031</t>
  </si>
  <si>
    <t>4J07DY3</t>
  </si>
  <si>
    <t>LPDLDL0032</t>
  </si>
  <si>
    <t>STPH/PO/2024-25/AUG/PG/51/4225</t>
  </si>
  <si>
    <t>PTMFDW0001</t>
  </si>
  <si>
    <t>ElACTS0007</t>
  </si>
  <si>
    <t>ElACTS0008</t>
  </si>
  <si>
    <t>ElACTS0009</t>
  </si>
  <si>
    <t>ACPA150001</t>
  </si>
  <si>
    <t xml:space="preserve">ElUPUP0016 </t>
  </si>
  <si>
    <t>ElDURU0003</t>
  </si>
  <si>
    <t>ElDURU0006</t>
  </si>
  <si>
    <t>ElDURU0007</t>
  </si>
  <si>
    <t>ElDURU0008</t>
  </si>
  <si>
    <t>ElUP1H0001</t>
  </si>
  <si>
    <t>ElUPUP0019</t>
  </si>
  <si>
    <t>ACGTEM0004</t>
  </si>
  <si>
    <t>UPUPUS0001</t>
  </si>
  <si>
    <t>FXFFFT0171</t>
  </si>
  <si>
    <t>EHEAEA0001</t>
  </si>
  <si>
    <t>Gem Contract.No.GEMC.511687776571554</t>
  </si>
  <si>
    <t>SASASA0018</t>
  </si>
  <si>
    <t>FXFFFT0101</t>
  </si>
  <si>
    <t>RRFFRK0019
to
RRFFRK0023</t>
  </si>
  <si>
    <t>ALALSA0001
ALALSA0002</t>
  </si>
  <si>
    <t>FXFFFT0068
FXFFFT0070
FXFFFT0072</t>
  </si>
  <si>
    <t>FXFFFT0073
FXFFFT0074
FXFFFT0075</t>
  </si>
  <si>
    <t xml:space="preserve"> SASSCS0001
 SASSCS0003</t>
  </si>
  <si>
    <t xml:space="preserve">FXOEWS0002
to
 FXOEWS0031
</t>
  </si>
  <si>
    <t>LDLDAL0012</t>
  </si>
  <si>
    <t>LDLDAL0013</t>
  </si>
  <si>
    <t>4552593B20AC05823</t>
  </si>
  <si>
    <t>AC1TVA0001</t>
  </si>
  <si>
    <t>4552593B20AC5546</t>
  </si>
  <si>
    <t>AC1TVA0002</t>
  </si>
  <si>
    <t>4552830A20LE01945</t>
  </si>
  <si>
    <t>AC1TVA0003</t>
  </si>
  <si>
    <t>FXOEWS0032 
to
FXOEWS0042</t>
  </si>
  <si>
    <t>ACGTAR0065</t>
  </si>
  <si>
    <t>ACGTAR0066</t>
  </si>
  <si>
    <t>ACGTAR0067</t>
  </si>
  <si>
    <t>ACGTAR0068</t>
  </si>
  <si>
    <t>ACGTAR0069</t>
  </si>
  <si>
    <t>EIEIEI0038</t>
  </si>
  <si>
    <t>EQECED0008</t>
  </si>
  <si>
    <t>FXT T 0026</t>
  </si>
  <si>
    <t>FXT T 0001</t>
  </si>
  <si>
    <t>EIEIEI0029</t>
  </si>
  <si>
    <t>EIEIEI0030</t>
  </si>
  <si>
    <t>ACACAC0020</t>
  </si>
  <si>
    <t>ACACAC0021</t>
  </si>
  <si>
    <t>ACACAC0022</t>
  </si>
  <si>
    <t>ACACAC0023</t>
  </si>
  <si>
    <t>ACACAC0024</t>
  </si>
  <si>
    <t>ACACAC0025</t>
  </si>
  <si>
    <t>ACACAC0026</t>
  </si>
  <si>
    <t>ACACAC0027</t>
  </si>
  <si>
    <t>ACACAC0028</t>
  </si>
  <si>
    <t>ACACAC0029</t>
  </si>
  <si>
    <t>ACACAC0030</t>
  </si>
  <si>
    <t>ACACAC0031</t>
  </si>
  <si>
    <t>ACACAC0032</t>
  </si>
  <si>
    <t>ACACAC0033</t>
  </si>
  <si>
    <t>ACACAC0034</t>
  </si>
  <si>
    <t>ACACAC0035</t>
  </si>
  <si>
    <t>ACACAC0036</t>
  </si>
  <si>
    <t>ACACAC0037</t>
  </si>
  <si>
    <t>ACACAC0038</t>
  </si>
  <si>
    <t>ACACAC0039</t>
  </si>
  <si>
    <t>ACACAC0040</t>
  </si>
  <si>
    <t>ACCA2T0016</t>
  </si>
  <si>
    <t>ACASSA0001 
ACASSA0002
ACASSA0003
ACASSA0004</t>
  </si>
  <si>
    <t xml:space="preserve">01,02, 03 04 </t>
  </si>
  <si>
    <t>STSWTE0001</t>
  </si>
  <si>
    <t>EQELEL0001</t>
  </si>
  <si>
    <t>EQELEL0002</t>
  </si>
  <si>
    <t>ElBWBO0001</t>
  </si>
  <si>
    <t xml:space="preserve">FXFFFT0235
TETETE0013 </t>
  </si>
  <si>
    <t xml:space="preserve">AZAHAJ0001
</t>
  </si>
  <si>
    <t>AZAHAJ0002</t>
  </si>
  <si>
    <t>AAAAAE0001</t>
  </si>
  <si>
    <t>AAAAAE0002</t>
  </si>
  <si>
    <t>EIEIEI0009</t>
  </si>
  <si>
    <t>FAFADT0001
FAFADT0002
FAFADT0003
FAFADT0004</t>
  </si>
  <si>
    <t>MOMIMS0001</t>
  </si>
  <si>
    <t>STSWDL0002</t>
  </si>
  <si>
    <t>STSWDL0003</t>
  </si>
  <si>
    <t>20010760, PS24</t>
  </si>
  <si>
    <t>SEccD40001</t>
  </si>
  <si>
    <t>SECCCC0007</t>
  </si>
  <si>
    <t xml:space="preserve">SECCCC0015 </t>
  </si>
  <si>
    <t xml:space="preserve">SECCCC0017 </t>
  </si>
  <si>
    <t xml:space="preserve">SECCCC0020 </t>
  </si>
  <si>
    <t xml:space="preserve"> SECCCC0021</t>
  </si>
  <si>
    <t xml:space="preserve">SECCCC0022 </t>
  </si>
  <si>
    <t>BABOBS0001
BABOBS0002</t>
  </si>
  <si>
    <t>CMCACM0001</t>
  </si>
  <si>
    <t>CMCACM0002</t>
  </si>
  <si>
    <t>CMACAI0001</t>
  </si>
  <si>
    <t>CMACAI0002</t>
  </si>
  <si>
    <t>CMACAI0003</t>
  </si>
  <si>
    <t>CMACAI0004</t>
  </si>
  <si>
    <t>CMACAI0005</t>
  </si>
  <si>
    <t>CMACAI0006</t>
  </si>
  <si>
    <t>CMACAI0007</t>
  </si>
  <si>
    <t>CMACAI0008</t>
  </si>
  <si>
    <t>CMACAI0009</t>
  </si>
  <si>
    <t>CMACAI0010</t>
  </si>
  <si>
    <t>CMACAI0011</t>
  </si>
  <si>
    <t>CMACAI0012</t>
  </si>
  <si>
    <t>TPH/2017-18 /15</t>
  </si>
  <si>
    <t>6539500224
6539500228</t>
  </si>
  <si>
    <t>HOHNHN0001
HOHNHN0002</t>
  </si>
  <si>
    <t>6539500169
6539500132</t>
  </si>
  <si>
    <t>HOHNHN0003
HOHNHN0004</t>
  </si>
  <si>
    <t>FFFEWO0001
FEFECO0020</t>
  </si>
  <si>
    <t>FECOCG0001
FECOCG0002
FECOCG0003
FECOCG0004
FECOCG0005
FECOCG0006
FECOCG0007
FECOCG0008
FECOCG0009
FECOCG0010</t>
  </si>
  <si>
    <t>919,905,3406,
906,900,926,
915,923,904,
920</t>
  </si>
  <si>
    <t>FECOCK0001
FECOCK0002
FECOCK0003
FECOCK0004
FECOCK0005
FECOCK0006
FECOCK0007
FECOCK0008
FECOCK0009
FECOCK0010
FECOCK0011
FECOCK0012
FECOCK0013
FECOCK0014</t>
  </si>
  <si>
    <t>FEFEDc0003
FEFEDc0004
FEFEDc0005
FEFEDc0006
FEFEDc0007
FEFEDc0008
FEFEDc0009
FEFEDc0010
FEFEDc0011
FEFEDc0012
FEFEDc0013
FEFEDc0014
FEFEDc0015
FEFEDc0016
FEFEDc0017
FEFEDc0018
FEFEDc0019
FEFEDc0020</t>
  </si>
  <si>
    <t xml:space="preserve"> FEFECO0006
FEFECO0007
FEFECO0008
FEFECO0009
FEFECO0010
FEFECO0011
</t>
  </si>
  <si>
    <t>FEFECO0004
FEFECO0005</t>
  </si>
  <si>
    <t>FEFEDc0001
FEFEDc0002</t>
  </si>
  <si>
    <t>FEFECO0003
FEFECO0001</t>
  </si>
  <si>
    <t>IPIPIP0001
IPIPIP0002 
IPIPIP0003
IPIPIP0004
IPIPIP0005 IPIPIP0006</t>
  </si>
  <si>
    <t>SPSPSP0001</t>
  </si>
  <si>
    <t>VSVAVV0001
VSVAVV0002
VSVAVV0003
VSVAVV0004</t>
  </si>
  <si>
    <t>VSVAVV0005
VSVAVV0006
VSVAVV0007
VSVAVV0008
VSVAVV0009</t>
  </si>
  <si>
    <t>VSVVVA0001
VSVVVA0002
VSVVVA0003</t>
  </si>
  <si>
    <t xml:space="preserve">VSVAVV0010
VSVAVV0011
VSVAVV0012
VSVAVV0013
</t>
  </si>
  <si>
    <t>VSVAVV0014</t>
  </si>
  <si>
    <t xml:space="preserve">VSVAVV0015
VSVAVV0016
VSVAVV0017
</t>
  </si>
  <si>
    <t xml:space="preserve">VSVAVV0018
</t>
  </si>
  <si>
    <t xml:space="preserve">VSVACF0001
VSVACF0002
VSVACF0003
VSVACF0004
VSVACF0005
VSVACF0006
VSVACF0007
VSVACF0008
VSVACF0009
VSVACF0010
</t>
  </si>
  <si>
    <t>VSCFCM0001
VSCFCM0002
VSCFCM0003</t>
  </si>
  <si>
    <t>VScfcm0004</t>
  </si>
  <si>
    <t>VSCFCM0005</t>
  </si>
  <si>
    <t>VSCFCM0006</t>
  </si>
  <si>
    <t>VSCMCF0001
VSCMCF0002
VSCMCF0003
VSCMCF0004
VSCMCF0005
VSCMCF0006
VSCMCF0007
VSCMCF0008
VSCMCF0009</t>
  </si>
  <si>
    <t>HDHDHD0001
HDHDHD0002
HDHDHD0003
HDHDHD0004</t>
  </si>
  <si>
    <t>FFFFWF0033
FFFFWF0034
FFFFWF0035
FFFFWF0037
FFFFWF0038
FFFFWF0039 FFFFWF0040 FFFFWF0041
FFFFWF0042</t>
  </si>
  <si>
    <t>FFFFWF0074
FFFFWF0075</t>
  </si>
  <si>
    <t xml:space="preserve"> LPLLV30003</t>
  </si>
  <si>
    <t>FXS0S00037</t>
  </si>
  <si>
    <t>SEccD80001</t>
  </si>
  <si>
    <t>PCPCPC0017</t>
  </si>
  <si>
    <t>PTHPLJ0006</t>
  </si>
  <si>
    <t>PTHPPT0022</t>
  </si>
  <si>
    <t>PTHPLJ0007</t>
  </si>
  <si>
    <t>SCSCSC0007</t>
  </si>
  <si>
    <t>SREEEE0004</t>
  </si>
  <si>
    <t>SREEEE0001</t>
  </si>
  <si>
    <t>PTHPHL0002</t>
  </si>
  <si>
    <t>#VNFNS92581</t>
  </si>
  <si>
    <t>PTMFHM0002</t>
  </si>
  <si>
    <t>PTMFfw0001</t>
  </si>
  <si>
    <t>CPNCCP0008</t>
  </si>
  <si>
    <t>CPNCCP0013</t>
  </si>
  <si>
    <t>CPCPCP0001</t>
  </si>
  <si>
    <t>CPCPCP0003</t>
  </si>
  <si>
    <t>CPNCCP0017</t>
  </si>
  <si>
    <t>CPNCCP0018</t>
  </si>
  <si>
    <t>CPNCCP0006</t>
  </si>
  <si>
    <t>CPNCCP0007</t>
  </si>
  <si>
    <t>CHECCR0001</t>
  </si>
  <si>
    <t>FXFFFT0094</t>
  </si>
  <si>
    <t>CHWCWA0001</t>
  </si>
  <si>
    <t>FXFFFT0052</t>
  </si>
  <si>
    <t>TETEED0003</t>
  </si>
  <si>
    <t>FXFFCH0060
FXFFCH0061
FXFFCH0062</t>
  </si>
  <si>
    <t>DBBDDD0002</t>
  </si>
  <si>
    <t xml:space="preserve"> RRFFRK0013
 RRFFRK0014
 RRFFRK0015</t>
  </si>
  <si>
    <t>RRFFRK0013</t>
  </si>
  <si>
    <t>RRFFRK0016
 RRFFRK0017
 RRFFRK0018</t>
  </si>
  <si>
    <t xml:space="preserve"> CHWCWA0400
to
CHWCWA0414</t>
  </si>
  <si>
    <t>TETEOT0005</t>
  </si>
  <si>
    <t>FXFFFT0122
FXFFFT0123</t>
  </si>
  <si>
    <t>DUPTPT0038
to
DUPTPT0064</t>
  </si>
  <si>
    <t>RRFFRK0011</t>
  </si>
  <si>
    <t>FXFFFT0234</t>
  </si>
  <si>
    <t>FXFFFT0232
 FXFFFT0233</t>
  </si>
  <si>
    <t>FXFFFT0225
to
FXFFFT0229</t>
  </si>
  <si>
    <t>FXFFFT0092</t>
  </si>
  <si>
    <t>FXFFFT0093</t>
  </si>
  <si>
    <t>TETETE0011</t>
  </si>
  <si>
    <t>FXFFFT0101
FXFFFT0102</t>
  </si>
  <si>
    <t>CHVCWA0019
CHVCWA0020
CHVCWA0021</t>
  </si>
  <si>
    <t>CHCCWA0001
to
CHCCWA0050</t>
  </si>
  <si>
    <t>CHCCWA0051
to
CHCCWA0081</t>
  </si>
  <si>
    <t>FXFFCH0063
to
FXFFCH0074</t>
  </si>
  <si>
    <t>FXFFPO0001</t>
  </si>
  <si>
    <t xml:space="preserve">FXFFFT0137
FXFFFT0138 </t>
  </si>
  <si>
    <t>FXFFFT0008</t>
  </si>
  <si>
    <t>FXFFFT0009</t>
  </si>
  <si>
    <t>FXFFFT0036</t>
  </si>
  <si>
    <t>FXFFFT0037</t>
  </si>
  <si>
    <t>DRDRDR0007</t>
  </si>
  <si>
    <t>DRDRDR0010</t>
  </si>
  <si>
    <t xml:space="preserve"> FXOEWS0034
to
FXOEWS0063</t>
  </si>
  <si>
    <t>SASASA0002
 SASASA0003</t>
  </si>
  <si>
    <t>SASASA0003 
SASASA0004</t>
  </si>
  <si>
    <t>SASASA0012
 SASASA0013</t>
  </si>
  <si>
    <t>SASSCS0007</t>
  </si>
  <si>
    <t>FXFFFT0068</t>
  </si>
  <si>
    <t>FXFFFT0038</t>
  </si>
  <si>
    <t>FXFFFT0066
FXFFFT0067</t>
  </si>
  <si>
    <t>CMCMCM0001</t>
  </si>
  <si>
    <t>FXFFFT0068
 FXFFFT0078</t>
  </si>
  <si>
    <t>SRSRSR0001</t>
  </si>
  <si>
    <t>RRFFRK0012</t>
  </si>
  <si>
    <t>CHPCWA0018
to
 CHPCWA0029</t>
  </si>
  <si>
    <t xml:space="preserve">WSWSMW0443
TO
WSWSMW0515
</t>
  </si>
  <si>
    <t>WSWSMW0516
TO
WSWSMW0539</t>
  </si>
  <si>
    <t xml:space="preserve">WSWSMW0540
TO
WSWSMW0572
</t>
  </si>
  <si>
    <t xml:space="preserve">WSWSMW0573
TO
WSWSMW0592
</t>
  </si>
  <si>
    <t xml:space="preserve">WSWSMW0593
TO
WSWSMW0612
</t>
  </si>
  <si>
    <t xml:space="preserve">WSWSMW0613
TO
WSWSMW0633
</t>
  </si>
  <si>
    <t xml:space="preserve">WSWSMW0634
TO
WSWSMW0660
</t>
  </si>
  <si>
    <t xml:space="preserve">CHWCWA0005
to
CHWCWA0093
</t>
  </si>
  <si>
    <t>CHWCWA0094
to
CHWCWA0129</t>
  </si>
  <si>
    <t xml:space="preserve">CHWCWA0175
to
CHWCWA0206
</t>
  </si>
  <si>
    <t xml:space="preserve">CHWCWA0207
to
CHWCWA0238
</t>
  </si>
  <si>
    <t xml:space="preserve">CHWCWA0130
to
CHWCWA0174
</t>
  </si>
  <si>
    <t xml:space="preserve">CHWCWA0239
to
CHWCWA0271
</t>
  </si>
  <si>
    <t xml:space="preserve">CHWCWA0272
to
CHWCWA0310
</t>
  </si>
  <si>
    <t xml:space="preserve">CHWCWA0311
to
CHWCWA0321
</t>
  </si>
  <si>
    <t xml:space="preserve">CHWCWA0322
to
CHWCWA0358
</t>
  </si>
  <si>
    <t>CHWCWA0359
to
CHWCWA0372</t>
  </si>
  <si>
    <t xml:space="preserve">CHWCWA0372
to
CHWCWA0391
</t>
  </si>
  <si>
    <t xml:space="preserve">TETEMC0001
to
TETEMC0009
</t>
  </si>
  <si>
    <t>TETEMT0007
TETEMT0008</t>
  </si>
  <si>
    <t>TETEMT0009</t>
  </si>
  <si>
    <t>TETEMT0010</t>
  </si>
  <si>
    <t>TETEMT0011</t>
  </si>
  <si>
    <t>TETEMT0012</t>
  </si>
  <si>
    <t>TEMRME0001</t>
  </si>
  <si>
    <t>TEMRME0002</t>
  </si>
  <si>
    <t>TEMRME0003</t>
  </si>
  <si>
    <t>FXOECL0016</t>
  </si>
  <si>
    <t>FXOECL0009</t>
  </si>
  <si>
    <t xml:space="preserve">TETEMC0010
TETEMC0011
</t>
  </si>
  <si>
    <t>TETEMC0016
TETEMC0017</t>
  </si>
  <si>
    <t>TETEMC0012
TETEMC0013</t>
  </si>
  <si>
    <t>TETEMC0014
TETEMC0015</t>
  </si>
  <si>
    <t>TETEMC0018
TETEMC0019</t>
  </si>
  <si>
    <t>TETEMC0020
TETEMC0021</t>
  </si>
  <si>
    <t>TETEMC0022</t>
  </si>
  <si>
    <t>CHRCCC0001
to
CHRCCC0017</t>
  </si>
  <si>
    <t>TEMRMC0001
to
TEMRMC0009</t>
  </si>
  <si>
    <t>NENEPP0004
NENEPP0005</t>
  </si>
  <si>
    <t>NENEOR0001
NENEOR0002</t>
  </si>
  <si>
    <t>NENEOR0003
NENEOR0007</t>
  </si>
  <si>
    <t>Record Rack</t>
  </si>
  <si>
    <t>RRFFRK0014</t>
  </si>
  <si>
    <t>Stationery Rack</t>
  </si>
  <si>
    <t xml:space="preserve">FXFFFT0092
to
FXFFFT0096
</t>
  </si>
  <si>
    <t xml:space="preserve">
NENEPP0002
NENEPP0003
</t>
  </si>
  <si>
    <t>TETERE0006</t>
  </si>
  <si>
    <t>SUSTSO0001</t>
  </si>
  <si>
    <t>SASATS0002</t>
  </si>
  <si>
    <t>SASASA0019</t>
  </si>
  <si>
    <t>TETEOT0007</t>
  </si>
  <si>
    <t>FFFFPF0007
FFFFPF0008</t>
  </si>
  <si>
    <t>CHPCWA0030
CHPCWA0031</t>
  </si>
  <si>
    <t xml:space="preserve">FXOEWS0043
to
FXOEWS0083
</t>
  </si>
  <si>
    <t>SBSBSG0002</t>
  </si>
  <si>
    <t>SBSBSG0003</t>
  </si>
  <si>
    <t>SRSRUR0001
to
SRSRUR0004</t>
  </si>
  <si>
    <t>SBSBSB0002
to
SBSBSB0004</t>
  </si>
  <si>
    <t>NBWNNB0001</t>
  </si>
  <si>
    <t>WBWLWE0001</t>
  </si>
  <si>
    <t>DBDPDI0001
DBDPDI0002</t>
  </si>
  <si>
    <t>WTOVWT0001
WTOVWT0002</t>
  </si>
  <si>
    <t>TETECT0019</t>
  </si>
  <si>
    <t>BDDCCT0002</t>
  </si>
  <si>
    <t>TETECA0001
TETECA0002</t>
  </si>
  <si>
    <t>WCWOWD0001</t>
  </si>
  <si>
    <t>CPCUCP0001</t>
  </si>
  <si>
    <t>GLGAGL0001</t>
  </si>
  <si>
    <t>TETEOT0008</t>
  </si>
  <si>
    <t xml:space="preserve">FXFFFT0048 
FXFFFT0050
FXFFFT0051
  FXOEDR0001
FXOEDR0002 </t>
  </si>
  <si>
    <t xml:space="preserve"> WSWSLI0003
to
WSWSLI0099</t>
  </si>
  <si>
    <t>WSWSLI0100
to
WSWSLI0105</t>
  </si>
  <si>
    <t>TETEOT0009</t>
  </si>
  <si>
    <t>TETESC0001</t>
  </si>
  <si>
    <t>CHECCR0002</t>
  </si>
  <si>
    <t>TETEDS0003
to
TETEDS0021</t>
  </si>
  <si>
    <t>TETECA0003
to
TETECA0008</t>
  </si>
  <si>
    <t>TETEpa0001
to
TETEpa0003</t>
  </si>
  <si>
    <t>TETEDS0001
TETEDS0002</t>
  </si>
  <si>
    <t>CHECCE0001
to
CHECCE0003</t>
  </si>
  <si>
    <t>TETECT0020
to
TETECT0027</t>
  </si>
  <si>
    <t>TETERE0007
TETERE0008</t>
  </si>
  <si>
    <t>GLFLGL0001
to 
GLFLGL0003</t>
  </si>
  <si>
    <t>KBABAS0001</t>
  </si>
  <si>
    <t>CHCACA0001
to
CHCACA0006</t>
  </si>
  <si>
    <t>CHCOCN0001
to
CHCOCN0012</t>
  </si>
  <si>
    <t>WSWSLI0110</t>
  </si>
  <si>
    <t>PTHPHP0005</t>
  </si>
  <si>
    <t>A189Z025AKD0003</t>
  </si>
  <si>
    <t>STKV8p0001</t>
  </si>
  <si>
    <t>A185N203AI90043</t>
  </si>
  <si>
    <t>STKVPS0001</t>
  </si>
  <si>
    <t>D74100922500002
D74100922500003
D74100922500004
D74100922500005</t>
  </si>
  <si>
    <t>CMCCDC0001
CMCCDC0002
CMCCDC0003
CMCCDC0004</t>
  </si>
  <si>
    <t>FFFFEF0003</t>
  </si>
  <si>
    <t>FXFFFT0110</t>
  </si>
  <si>
    <t>FXFFCH0012
to
FXFFCH0031</t>
  </si>
  <si>
    <t xml:space="preserve">FXFFCH0001
to
FXFFCH0007
</t>
  </si>
  <si>
    <t>FXOECM0002</t>
  </si>
  <si>
    <t>FXOECM0003</t>
  </si>
  <si>
    <t xml:space="preserve"> FXOECM0001</t>
  </si>
  <si>
    <t>TETEDT0013</t>
  </si>
  <si>
    <t>FXFFCH0376
to
FXFFCH0380
and
 FXFFCH0046
to
FXFFCH0059
and
FXFFCH0418
to
FXFFCH0427</t>
  </si>
  <si>
    <t>CHCACF0001
to
CHCACF0035</t>
  </si>
  <si>
    <t>PHOECP0006</t>
  </si>
  <si>
    <t>6LBQB041632</t>
  </si>
  <si>
    <t>SULWLW0001
to
SULWLW0003</t>
  </si>
  <si>
    <t>LOLWLA0001
to
LOLWLA0005</t>
  </si>
  <si>
    <t>LOLWLW0001
to
LOLWLW0003</t>
  </si>
  <si>
    <t>CWCHCA0001</t>
  </si>
  <si>
    <t>APACAP0001</t>
  </si>
  <si>
    <t>RBRORL0001</t>
  </si>
  <si>
    <t>MOMBMO0001</t>
  </si>
  <si>
    <t>POPWPF0001</t>
  </si>
  <si>
    <t>ElTRTR0003</t>
  </si>
  <si>
    <t>WSWSWT0008</t>
  </si>
  <si>
    <t>MDWMCA0041</t>
  </si>
  <si>
    <t>MPMOMB0001</t>
  </si>
  <si>
    <t>CHOCNO0021</t>
  </si>
  <si>
    <t>SUSTSO0003
to
SUSTSO0040</t>
  </si>
  <si>
    <t>CHCACF0036
to
CHCACF0059</t>
  </si>
  <si>
    <t>GLFLGL0004
GLFLGL0016</t>
  </si>
  <si>
    <t>surgeprotection</t>
  </si>
  <si>
    <t>Consumables Obsolete</t>
  </si>
  <si>
    <t>ElLACA0001</t>
  </si>
  <si>
    <t>INE Value creaters and consultants P Ltd</t>
  </si>
  <si>
    <t>INE-V/ERICO/81/06-07,21/11/2006</t>
  </si>
  <si>
    <t xml:space="preserve">Not Working, </t>
  </si>
  <si>
    <t>PO no. 070, 20.10.2006, Total value: 520,072.00</t>
  </si>
  <si>
    <t xml:space="preserve">Not Found </t>
  </si>
  <si>
    <t>14.11.2001</t>
  </si>
  <si>
    <t>Data Systems</t>
  </si>
  <si>
    <t>DS-3302,15.11.2001</t>
  </si>
  <si>
    <t>PO No. 93, 29.01.2009</t>
  </si>
  <si>
    <t>Sonovision Enterprises</t>
  </si>
  <si>
    <t>DC 52258-2585,09.05.2009</t>
  </si>
  <si>
    <t>Security equipment</t>
  </si>
  <si>
    <t xml:space="preserve">Consumables </t>
  </si>
  <si>
    <t>HAPCHA0001</t>
  </si>
  <si>
    <t>Hand PC</t>
  </si>
  <si>
    <t>WMWEWI0002</t>
  </si>
  <si>
    <t>ITIRIO0001</t>
  </si>
  <si>
    <t xml:space="preserve">NFPA72 </t>
  </si>
  <si>
    <t>FNCFCF0004,  FNCFCF0005,FNCFCF0006,  FNCFCF0007</t>
  </si>
  <si>
    <t>ESESEA0002</t>
  </si>
  <si>
    <t>ESSDES0001</t>
  </si>
  <si>
    <t>ESESEA0001</t>
  </si>
  <si>
    <t>FXFFFT0222</t>
  </si>
  <si>
    <t>DCDADT0002</t>
  </si>
  <si>
    <t>DCDADT0001</t>
  </si>
  <si>
    <t>DCDADT0004</t>
  </si>
  <si>
    <t>DCDADT0003</t>
  </si>
  <si>
    <t>DCDADT0005</t>
  </si>
  <si>
    <t>BPBMBP0001</t>
  </si>
  <si>
    <t>PRPOPR0001</t>
  </si>
  <si>
    <t>TETTTE0001</t>
  </si>
  <si>
    <t>COCMCP0001</t>
  </si>
  <si>
    <t>WCWOWD0002</t>
  </si>
  <si>
    <t>SBSBSB0005</t>
  </si>
  <si>
    <t>NBWNNB0002</t>
  </si>
  <si>
    <t>NBWNNB0003</t>
  </si>
  <si>
    <t>TETEST0005</t>
  </si>
  <si>
    <t>QUQOQT0001</t>
  </si>
  <si>
    <t>MAMRMA0001</t>
  </si>
  <si>
    <t>RORSRE0001</t>
  </si>
  <si>
    <t>TETECT0028</t>
  </si>
  <si>
    <t>EPEAEP0001</t>
  </si>
  <si>
    <t>WOWDWE0001
WOWDWO0002</t>
  </si>
  <si>
    <t>WOWDWO0001</t>
  </si>
  <si>
    <t>RRFFRK0029</t>
  </si>
  <si>
    <t>OEHDHD0001
OEHDHD0002
 HDHDHD0003</t>
  </si>
  <si>
    <t>CMCACM0003</t>
  </si>
  <si>
    <t>DSD-36C17F00231,</t>
  </si>
  <si>
    <t xml:space="preserve"> DSD-36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</si>
</sst>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0.0"/>
    <numFmt numFmtId="165" formatCode="0_ ;\-0\ "/>
    <numFmt numFmtId="166" formatCode="General_)"/>
    <numFmt numFmtId="167" formatCode="##\ ##\ ##\ ##\ ##\ ###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b/>
      <sz val="16"/>
      <color theme="1"/>
      <name val="Calibri"/>
      <family val="2"/>
    </font>
    <font>
      <b/>
      <sz val="16"/>
      <name val="Calibri"/>
      <family val="2"/>
    </font>
    <font>
      <sz val="16"/>
      <name val="Calibri"/>
      <family val="2"/>
    </font>
    <font>
      <b/>
      <sz val="11"/>
      <name val="Calibri"/>
      <family val="2"/>
    </font>
    <font>
      <u/>
      <sz val="20"/>
      <color rgb="FF000000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b/>
      <sz val="14"/>
      <name val="Arial"/>
      <family val="2"/>
    </font>
    <font>
      <sz val="14"/>
      <color rgb="FF000000"/>
      <name val="Calibri"/>
      <family val="2"/>
    </font>
    <font>
      <b/>
      <sz val="14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</font>
    <font>
      <sz val="14"/>
      <color rgb="FFFF0000"/>
      <name val="Calibri"/>
      <family val="2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Arial"/>
      <family val="2"/>
    </font>
    <font>
      <b/>
      <sz val="24"/>
      <color theme="1"/>
      <name val="Calibri"/>
      <family val="2"/>
      <scheme val="minor"/>
    </font>
    <font>
      <b/>
      <sz val="18"/>
      <color rgb="FF000000"/>
      <name val="Calibri"/>
      <family val="2"/>
    </font>
    <font>
      <sz val="16"/>
      <color theme="1"/>
      <name val="Calibri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b/>
      <sz val="14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10" fillId="0" borderId="0"/>
    <xf numFmtId="0" fontId="3" fillId="0" borderId="0"/>
  </cellStyleXfs>
  <cellXfs count="648">
    <xf numFmtId="0" fontId="0" fillId="0" borderId="0" xfId="0"/>
    <xf numFmtId="0" fontId="7" fillId="10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15" fillId="0" borderId="0" xfId="0" applyFont="1" applyAlignment="1">
      <alignment vertical="center"/>
    </xf>
    <xf numFmtId="0" fontId="6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horizontal="right" wrapText="1"/>
    </xf>
    <xf numFmtId="0" fontId="0" fillId="0" borderId="0" xfId="0" applyBorder="1"/>
    <xf numFmtId="0" fontId="0" fillId="0" borderId="0" xfId="0" applyBorder="1" applyAlignmen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6" fillId="23" borderId="25" xfId="0" applyFont="1" applyFill="1" applyBorder="1" applyAlignment="1">
      <alignment horizontal="center"/>
    </xf>
    <xf numFmtId="0" fontId="18" fillId="23" borderId="13" xfId="0" applyFont="1" applyFill="1" applyBorder="1" applyAlignment="1">
      <alignment horizontal="left"/>
    </xf>
    <xf numFmtId="1" fontId="18" fillId="23" borderId="13" xfId="0" applyNumberFormat="1" applyFont="1" applyFill="1" applyBorder="1" applyAlignment="1">
      <alignment horizontal="center" vertical="center"/>
    </xf>
    <xf numFmtId="4" fontId="16" fillId="23" borderId="26" xfId="0" applyNumberFormat="1" applyFont="1" applyFill="1" applyBorder="1" applyAlignment="1">
      <alignment horizontal="center"/>
    </xf>
    <xf numFmtId="0" fontId="19" fillId="0" borderId="25" xfId="0" applyFont="1" applyBorder="1" applyAlignment="1">
      <alignment horizontal="center"/>
    </xf>
    <xf numFmtId="1" fontId="19" fillId="0" borderId="13" xfId="0" applyNumberFormat="1" applyFont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1" fontId="19" fillId="0" borderId="30" xfId="0" applyNumberFormat="1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5" fillId="0" borderId="0" xfId="0" applyFont="1" applyAlignment="1"/>
    <xf numFmtId="0" fontId="24" fillId="0" borderId="0" xfId="0" applyFont="1"/>
    <xf numFmtId="0" fontId="4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Fill="1" applyBorder="1" applyAlignment="1">
      <alignment horizontal="left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8" fillId="0" borderId="0" xfId="0" applyFont="1" applyAlignment="1">
      <alignment wrapText="1"/>
    </xf>
    <xf numFmtId="0" fontId="28" fillId="0" borderId="0" xfId="0" applyFont="1" applyAlignment="1"/>
    <xf numFmtId="0" fontId="17" fillId="0" borderId="0" xfId="0" applyFont="1" applyFill="1" applyBorder="1" applyAlignment="1">
      <alignment horizontal="center" vertical="center"/>
    </xf>
    <xf numFmtId="0" fontId="24" fillId="0" borderId="0" xfId="0" applyFont="1" applyAlignment="1"/>
    <xf numFmtId="0" fontId="4" fillId="21" borderId="1" xfId="0" applyFont="1" applyFill="1" applyBorder="1" applyAlignment="1">
      <alignment horizontal="center" vertical="center"/>
    </xf>
    <xf numFmtId="0" fontId="25" fillId="0" borderId="0" xfId="0" applyFont="1" applyAlignment="1"/>
    <xf numFmtId="0" fontId="4" fillId="0" borderId="0" xfId="0" applyFont="1" applyAlignment="1"/>
    <xf numFmtId="0" fontId="4" fillId="0" borderId="0" xfId="0" applyFont="1"/>
    <xf numFmtId="0" fontId="28" fillId="0" borderId="1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8" fillId="10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2" fontId="17" fillId="0" borderId="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2" fontId="17" fillId="0" borderId="1" xfId="1" applyNumberFormat="1" applyFont="1" applyFill="1" applyBorder="1" applyAlignment="1">
      <alignment horizontal="center" vertical="center" wrapText="1"/>
    </xf>
    <xf numFmtId="166" fontId="17" fillId="0" borderId="1" xfId="4" applyNumberFormat="1" applyFont="1" applyFill="1" applyBorder="1" applyAlignment="1">
      <alignment horizontal="left" vertical="center" wrapText="1"/>
    </xf>
    <xf numFmtId="11" fontId="17" fillId="0" borderId="1" xfId="0" applyNumberFormat="1" applyFont="1" applyFill="1" applyBorder="1" applyAlignment="1">
      <alignment horizontal="center" vertical="center" wrapText="1"/>
    </xf>
    <xf numFmtId="4" fontId="17" fillId="0" borderId="1" xfId="0" applyNumberFormat="1" applyFont="1" applyFill="1" applyBorder="1" applyAlignment="1">
      <alignment horizontal="center" vertical="center" wrapText="1"/>
    </xf>
    <xf numFmtId="0" fontId="17" fillId="0" borderId="1" xfId="7" applyFont="1" applyFill="1" applyBorder="1" applyAlignment="1">
      <alignment horizontal="center" vertical="center" wrapText="1"/>
    </xf>
    <xf numFmtId="4" fontId="17" fillId="0" borderId="1" xfId="7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" fontId="17" fillId="0" borderId="1" xfId="1" applyNumberFormat="1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14" fontId="17" fillId="0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vertical="center" wrapText="1"/>
    </xf>
    <xf numFmtId="0" fontId="17" fillId="0" borderId="0" xfId="0" applyFont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28" fillId="21" borderId="1" xfId="0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wrapText="1"/>
    </xf>
    <xf numFmtId="0" fontId="28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left" vertical="center" wrapText="1"/>
    </xf>
    <xf numFmtId="0" fontId="28" fillId="3" borderId="10" xfId="0" applyFont="1" applyFill="1" applyBorder="1" applyAlignment="1">
      <alignment horizontal="center" wrapText="1"/>
    </xf>
    <xf numFmtId="0" fontId="28" fillId="3" borderId="10" xfId="0" applyFont="1" applyFill="1" applyBorder="1" applyAlignment="1">
      <alignment wrapText="1"/>
    </xf>
    <xf numFmtId="0" fontId="28" fillId="0" borderId="1" xfId="0" applyFont="1" applyFill="1" applyBorder="1" applyAlignment="1">
      <alignment horizontal="left" vertical="center" wrapText="1"/>
    </xf>
    <xf numFmtId="0" fontId="17" fillId="0" borderId="1" xfId="7" applyFont="1" applyFill="1" applyBorder="1" applyAlignment="1">
      <alignment horizontal="left" vertical="center" wrapText="1"/>
    </xf>
    <xf numFmtId="14" fontId="17" fillId="0" borderId="1" xfId="0" applyNumberFormat="1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center" vertical="center"/>
    </xf>
    <xf numFmtId="166" fontId="17" fillId="8" borderId="1" xfId="4" applyNumberFormat="1" applyFont="1" applyFill="1" applyBorder="1" applyAlignment="1">
      <alignment horizontal="center" vertical="center" wrapText="1"/>
    </xf>
    <xf numFmtId="0" fontId="17" fillId="8" borderId="1" xfId="0" quotePrefix="1" applyNumberFormat="1" applyFont="1" applyFill="1" applyBorder="1" applyAlignment="1">
      <alignment horizontal="center" vertical="center" wrapText="1"/>
    </xf>
    <xf numFmtId="167" fontId="17" fillId="8" borderId="1" xfId="3" applyNumberFormat="1" applyFont="1" applyFill="1" applyBorder="1" applyAlignment="1">
      <alignment horizontal="center" vertical="center"/>
    </xf>
    <xf numFmtId="4" fontId="17" fillId="8" borderId="1" xfId="3" applyNumberFormat="1" applyFont="1" applyFill="1" applyBorder="1" applyAlignment="1">
      <alignment horizontal="center" vertical="center"/>
    </xf>
    <xf numFmtId="49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28" fillId="0" borderId="0" xfId="0" applyFont="1"/>
    <xf numFmtId="1" fontId="17" fillId="8" borderId="1" xfId="0" applyNumberFormat="1" applyFont="1" applyFill="1" applyBorder="1" applyAlignment="1">
      <alignment horizontal="center" vertical="center"/>
    </xf>
    <xf numFmtId="1" fontId="17" fillId="8" borderId="1" xfId="0" applyNumberFormat="1" applyFont="1" applyFill="1" applyBorder="1" applyAlignment="1">
      <alignment horizontal="center" vertical="center" wrapText="1"/>
    </xf>
    <xf numFmtId="1" fontId="17" fillId="8" borderId="1" xfId="3" applyNumberFormat="1" applyFont="1" applyFill="1" applyBorder="1" applyAlignment="1">
      <alignment horizontal="center" vertical="center"/>
    </xf>
    <xf numFmtId="4" fontId="17" fillId="8" borderId="1" xfId="1" applyNumberFormat="1" applyFont="1" applyFill="1" applyBorder="1" applyAlignment="1">
      <alignment horizontal="center" vertical="center"/>
    </xf>
    <xf numFmtId="4" fontId="17" fillId="8" borderId="1" xfId="0" applyNumberFormat="1" applyFont="1" applyFill="1" applyBorder="1" applyAlignment="1">
      <alignment horizontal="center" vertical="center"/>
    </xf>
    <xf numFmtId="4" fontId="17" fillId="0" borderId="1" xfId="0" applyNumberFormat="1" applyFont="1" applyFill="1" applyBorder="1" applyAlignment="1">
      <alignment horizontal="center" vertical="center"/>
    </xf>
    <xf numFmtId="0" fontId="17" fillId="6" borderId="1" xfId="7" applyFont="1" applyFill="1" applyBorder="1" applyAlignment="1">
      <alignment horizontal="center" vertical="center" wrapText="1"/>
    </xf>
    <xf numFmtId="0" fontId="17" fillId="0" borderId="1" xfId="7" applyFont="1" applyBorder="1" applyAlignment="1">
      <alignment horizontal="center" vertical="center" wrapText="1"/>
    </xf>
    <xf numFmtId="4" fontId="17" fillId="0" borderId="1" xfId="7" applyNumberFormat="1" applyFont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4" fontId="28" fillId="0" borderId="1" xfId="0" applyNumberFormat="1" applyFont="1" applyFill="1" applyBorder="1" applyAlignment="1">
      <alignment horizontal="center" vertical="center" wrapText="1"/>
    </xf>
    <xf numFmtId="4" fontId="17" fillId="0" borderId="1" xfId="0" applyNumberFormat="1" applyFont="1" applyFill="1" applyBorder="1" applyAlignment="1">
      <alignment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1" xfId="0" quotePrefix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49" fontId="17" fillId="0" borderId="1" xfId="0" applyNumberFormat="1" applyFont="1" applyFill="1" applyBorder="1" applyAlignment="1">
      <alignment horizontal="center" vertical="center" wrapText="1"/>
    </xf>
    <xf numFmtId="165" fontId="17" fillId="0" borderId="1" xfId="0" applyNumberFormat="1" applyFont="1" applyFill="1" applyBorder="1" applyAlignment="1">
      <alignment horizontal="center" vertical="center" wrapText="1"/>
    </xf>
    <xf numFmtId="166" fontId="17" fillId="0" borderId="1" xfId="0" applyNumberFormat="1" applyFont="1" applyFill="1" applyBorder="1" applyAlignment="1" applyProtection="1">
      <alignment horizontal="center" vertical="center" wrapText="1"/>
    </xf>
    <xf numFmtId="0" fontId="20" fillId="12" borderId="3" xfId="0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 wrapText="1"/>
    </xf>
    <xf numFmtId="0" fontId="17" fillId="8" borderId="1" xfId="0" applyNumberFormat="1" applyFont="1" applyFill="1" applyBorder="1" applyAlignment="1">
      <alignment horizontal="center" vertical="center" wrapText="1"/>
    </xf>
    <xf numFmtId="4" fontId="17" fillId="8" borderId="1" xfId="0" applyNumberFormat="1" applyFont="1" applyFill="1" applyBorder="1" applyAlignment="1">
      <alignment horizontal="center" vertical="center" wrapText="1"/>
    </xf>
    <xf numFmtId="0" fontId="17" fillId="8" borderId="1" xfId="0" quotePrefix="1" applyFont="1" applyFill="1" applyBorder="1" applyAlignment="1">
      <alignment horizontal="center" vertical="center" wrapText="1"/>
    </xf>
    <xf numFmtId="166" fontId="17" fillId="8" borderId="1" xfId="0" applyNumberFormat="1" applyFont="1" applyFill="1" applyBorder="1" applyAlignment="1" applyProtection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/>
    </xf>
    <xf numFmtId="0" fontId="17" fillId="0" borderId="2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4" fontId="17" fillId="0" borderId="1" xfId="3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4" fontId="17" fillId="8" borderId="1" xfId="3" applyNumberFormat="1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4" fontId="17" fillId="8" borderId="1" xfId="1" applyNumberFormat="1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4" fontId="17" fillId="0" borderId="3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8" borderId="2" xfId="0" applyNumberFormat="1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4" fontId="17" fillId="0" borderId="2" xfId="1" applyNumberFormat="1" applyFont="1" applyFill="1" applyBorder="1" applyAlignment="1">
      <alignment horizontal="center" vertical="center" wrapText="1"/>
    </xf>
    <xf numFmtId="4" fontId="17" fillId="0" borderId="3" xfId="1" applyNumberFormat="1" applyFont="1" applyFill="1" applyBorder="1" applyAlignment="1">
      <alignment horizontal="center" vertical="center" wrapText="1"/>
    </xf>
    <xf numFmtId="1" fontId="17" fillId="0" borderId="1" xfId="0" applyNumberFormat="1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1" fontId="17" fillId="0" borderId="2" xfId="0" applyNumberFormat="1" applyFont="1" applyFill="1" applyBorder="1" applyAlignment="1">
      <alignment horizontal="center" vertical="center" wrapText="1"/>
    </xf>
    <xf numFmtId="4" fontId="17" fillId="0" borderId="1" xfId="5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8" fillId="0" borderId="0" xfId="0" applyFont="1" applyFill="1"/>
    <xf numFmtId="0" fontId="14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right" wrapText="1"/>
    </xf>
    <xf numFmtId="2" fontId="8" fillId="0" borderId="0" xfId="0" applyNumberFormat="1" applyFont="1" applyFill="1" applyBorder="1" applyAlignment="1">
      <alignment wrapText="1"/>
    </xf>
    <xf numFmtId="0" fontId="8" fillId="0" borderId="0" xfId="0" applyFont="1" applyFill="1" applyBorder="1"/>
    <xf numFmtId="164" fontId="8" fillId="0" borderId="0" xfId="0" applyNumberFormat="1" applyFont="1" applyFill="1" applyBorder="1" applyAlignment="1">
      <alignment wrapText="1"/>
    </xf>
    <xf numFmtId="0" fontId="14" fillId="0" borderId="0" xfId="0" applyFont="1" applyFill="1" applyBorder="1"/>
    <xf numFmtId="0" fontId="14" fillId="0" borderId="0" xfId="0" applyFont="1" applyFill="1" applyBorder="1" applyAlignment="1">
      <alignment wrapText="1"/>
    </xf>
    <xf numFmtId="0" fontId="14" fillId="0" borderId="0" xfId="0" applyFont="1" applyFill="1" applyBorder="1" applyAlignment="1">
      <alignment horizontal="right" wrapText="1"/>
    </xf>
    <xf numFmtId="0" fontId="14" fillId="0" borderId="0" xfId="0" applyFont="1" applyFill="1"/>
    <xf numFmtId="0" fontId="8" fillId="0" borderId="0" xfId="0" applyFont="1" applyFill="1" applyAlignment="1">
      <alignment wrapText="1"/>
    </xf>
    <xf numFmtId="0" fontId="8" fillId="0" borderId="0" xfId="0" applyFont="1" applyFill="1" applyAlignment="1">
      <alignment horizontal="right" wrapText="1"/>
    </xf>
    <xf numFmtId="0" fontId="20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6" fillId="0" borderId="0" xfId="0" applyFont="1" applyFill="1" applyBorder="1"/>
    <xf numFmtId="4" fontId="17" fillId="0" borderId="1" xfId="0" applyNumberFormat="1" applyFont="1" applyFill="1" applyBorder="1" applyAlignment="1">
      <alignment horizontal="right" vertical="center" wrapText="1"/>
    </xf>
    <xf numFmtId="0" fontId="17" fillId="0" borderId="1" xfId="0" applyFont="1" applyFill="1" applyBorder="1" applyAlignment="1">
      <alignment horizontal="right" vertical="center" wrapText="1"/>
    </xf>
    <xf numFmtId="4" fontId="20" fillId="3" borderId="1" xfId="0" applyNumberFormat="1" applyFont="1" applyFill="1" applyBorder="1" applyAlignment="1">
      <alignment vertical="center" wrapText="1"/>
    </xf>
    <xf numFmtId="0" fontId="19" fillId="0" borderId="13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 wrapText="1"/>
    </xf>
    <xf numFmtId="4" fontId="19" fillId="0" borderId="26" xfId="0" applyNumberFormat="1" applyFont="1" applyBorder="1" applyAlignment="1">
      <alignment vertical="center"/>
    </xf>
    <xf numFmtId="4" fontId="19" fillId="0" borderId="31" xfId="0" applyNumberFormat="1" applyFont="1" applyBorder="1" applyAlignment="1">
      <alignment vertical="center"/>
    </xf>
    <xf numFmtId="0" fontId="35" fillId="0" borderId="0" xfId="0" applyFont="1" applyAlignment="1"/>
    <xf numFmtId="0" fontId="23" fillId="0" borderId="27" xfId="0" applyFont="1" applyBorder="1" applyAlignment="1">
      <alignment horizontal="center"/>
    </xf>
    <xf numFmtId="0" fontId="36" fillId="22" borderId="28" xfId="0" applyFont="1" applyFill="1" applyBorder="1" applyAlignment="1">
      <alignment horizontal="left" vertical="center"/>
    </xf>
    <xf numFmtId="4" fontId="31" fillId="3" borderId="29" xfId="0" applyNumberFormat="1" applyFont="1" applyFill="1" applyBorder="1" applyAlignment="1">
      <alignment vertical="center"/>
    </xf>
    <xf numFmtId="1" fontId="36" fillId="9" borderId="28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17" fillId="16" borderId="1" xfId="0" applyFont="1" applyFill="1" applyBorder="1" applyAlignment="1">
      <alignment horizontal="center" vertical="center" wrapText="1"/>
    </xf>
    <xf numFmtId="4" fontId="17" fillId="0" borderId="0" xfId="0" applyNumberFormat="1" applyFont="1" applyAlignment="1">
      <alignment horizontal="center" vertical="center" wrapText="1"/>
    </xf>
    <xf numFmtId="0" fontId="17" fillId="24" borderId="1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14" fontId="17" fillId="16" borderId="1" xfId="0" applyNumberFormat="1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28" fillId="0" borderId="0" xfId="0" applyFont="1" applyFill="1" applyAlignment="1">
      <alignment horizontal="center" vertical="center" wrapText="1"/>
    </xf>
    <xf numFmtId="4" fontId="17" fillId="0" borderId="1" xfId="0" applyNumberFormat="1" applyFont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4" fontId="28" fillId="0" borderId="0" xfId="0" applyNumberFormat="1" applyFont="1"/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4" fontId="12" fillId="3" borderId="0" xfId="0" applyNumberFormat="1" applyFont="1" applyFill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4" fontId="30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" fontId="12" fillId="3" borderId="1" xfId="0" applyNumberFormat="1" applyFont="1" applyFill="1" applyBorder="1" applyAlignment="1">
      <alignment horizontal="center" vertical="center" wrapText="1"/>
    </xf>
    <xf numFmtId="0" fontId="30" fillId="0" borderId="0" xfId="0" applyFont="1"/>
    <xf numFmtId="0" fontId="30" fillId="3" borderId="0" xfId="0" applyFont="1" applyFill="1"/>
    <xf numFmtId="4" fontId="30" fillId="3" borderId="0" xfId="0" applyNumberFormat="1" applyFont="1" applyFill="1"/>
    <xf numFmtId="0" fontId="30" fillId="3" borderId="0" xfId="0" applyFont="1" applyFill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4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/>
    </xf>
    <xf numFmtId="0" fontId="25" fillId="7" borderId="11" xfId="0" applyFont="1" applyFill="1" applyBorder="1" applyAlignment="1">
      <alignment horizontal="center" vertical="center" wrapText="1"/>
    </xf>
    <xf numFmtId="0" fontId="25" fillId="7" borderId="3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25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166" fontId="27" fillId="0" borderId="1" xfId="0" applyNumberFormat="1" applyFont="1" applyFill="1" applyBorder="1" applyAlignment="1" applyProtection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4" fontId="27" fillId="0" borderId="1" xfId="0" applyNumberFormat="1" applyFont="1" applyFill="1" applyBorder="1" applyAlignment="1">
      <alignment horizontal="center" vertical="center" wrapText="1"/>
    </xf>
    <xf numFmtId="0" fontId="27" fillId="0" borderId="1" xfId="0" quotePrefix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1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17" fillId="0" borderId="1" xfId="7" applyFont="1" applyBorder="1" applyAlignment="1">
      <alignment horizontal="center" vertical="center" wrapText="1"/>
    </xf>
    <xf numFmtId="1" fontId="20" fillId="8" borderId="1" xfId="0" applyNumberFormat="1" applyFont="1" applyFill="1" applyBorder="1" applyAlignment="1">
      <alignment horizontal="left" vertical="center" wrapText="1"/>
    </xf>
    <xf numFmtId="0" fontId="17" fillId="0" borderId="4" xfId="0" applyFont="1" applyBorder="1" applyAlignment="1">
      <alignment horizontal="center" vertical="center" wrapText="1"/>
    </xf>
    <xf numFmtId="0" fontId="39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left"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vertical="center" wrapText="1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wrapText="1"/>
    </xf>
    <xf numFmtId="0" fontId="41" fillId="0" borderId="0" xfId="0" applyFont="1" applyAlignment="1">
      <alignment horizontal="center" vertical="center"/>
    </xf>
    <xf numFmtId="0" fontId="17" fillId="0" borderId="5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30" fillId="0" borderId="5" xfId="0" applyFont="1" applyFill="1" applyBorder="1" applyAlignment="1">
      <alignment horizontal="center" vertical="center" wrapText="1"/>
    </xf>
    <xf numFmtId="0" fontId="41" fillId="16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 wrapText="1"/>
    </xf>
    <xf numFmtId="1" fontId="17" fillId="0" borderId="4" xfId="0" applyNumberFormat="1" applyFont="1" applyBorder="1" applyAlignment="1">
      <alignment horizontal="center" vertical="center" wrapText="1"/>
    </xf>
    <xf numFmtId="49" fontId="17" fillId="0" borderId="4" xfId="0" applyNumberFormat="1" applyFont="1" applyBorder="1" applyAlignment="1">
      <alignment horizontal="center" vertical="center" wrapText="1"/>
    </xf>
    <xf numFmtId="1" fontId="17" fillId="0" borderId="4" xfId="0" applyNumberFormat="1" applyFont="1" applyFill="1" applyBorder="1" applyAlignment="1">
      <alignment horizontal="center" vertical="center" wrapText="1"/>
    </xf>
    <xf numFmtId="0" fontId="17" fillId="0" borderId="4" xfId="7" applyFont="1" applyBorder="1" applyAlignment="1">
      <alignment horizontal="center" vertical="center" wrapText="1"/>
    </xf>
    <xf numFmtId="0" fontId="17" fillId="0" borderId="4" xfId="0" quotePrefix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" fillId="8" borderId="5" xfId="7" applyFont="1" applyFill="1" applyBorder="1" applyAlignment="1">
      <alignment horizontal="center" vertical="center" wrapText="1"/>
    </xf>
    <xf numFmtId="0" fontId="17" fillId="0" borderId="5" xfId="7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 wrapText="1"/>
    </xf>
    <xf numFmtId="0" fontId="41" fillId="24" borderId="4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4" xfId="0" quotePrefix="1" applyNumberFormat="1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top" wrapText="1"/>
    </xf>
    <xf numFmtId="0" fontId="26" fillId="0" borderId="1" xfId="7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4" fontId="26" fillId="0" borderId="1" xfId="0" applyNumberFormat="1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 wrapText="1"/>
    </xf>
    <xf numFmtId="4" fontId="24" fillId="0" borderId="1" xfId="0" applyNumberFormat="1" applyFont="1" applyFill="1" applyBorder="1" applyAlignment="1">
      <alignment horizontal="center" vertical="center" wrapText="1"/>
    </xf>
    <xf numFmtId="0" fontId="26" fillId="8" borderId="1" xfId="7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vertical="center" wrapText="1"/>
    </xf>
    <xf numFmtId="4" fontId="26" fillId="8" borderId="1" xfId="0" applyNumberFormat="1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vertical="center" wrapText="1"/>
    </xf>
    <xf numFmtId="4" fontId="24" fillId="8" borderId="1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46" fillId="10" borderId="1" xfId="0" applyFont="1" applyFill="1" applyBorder="1" applyAlignment="1">
      <alignment horizontal="center" vertical="center" wrapText="1"/>
    </xf>
    <xf numFmtId="0" fontId="46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14" fontId="44" fillId="16" borderId="1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center" vertical="center" wrapText="1"/>
    </xf>
    <xf numFmtId="0" fontId="26" fillId="8" borderId="0" xfId="0" applyFont="1" applyFill="1" applyAlignment="1">
      <alignment horizontal="center" vertical="center" wrapText="1"/>
    </xf>
    <xf numFmtId="4" fontId="26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vertical="center" wrapText="1"/>
    </xf>
    <xf numFmtId="4" fontId="43" fillId="3" borderId="1" xfId="0" applyNumberFormat="1" applyFont="1" applyFill="1" applyBorder="1" applyAlignment="1">
      <alignment horizontal="center" vertical="center" wrapText="1"/>
    </xf>
    <xf numFmtId="0" fontId="26" fillId="0" borderId="1" xfId="7" applyFont="1" applyBorder="1" applyAlignment="1">
      <alignment horizontal="center" vertical="center" wrapText="1"/>
    </xf>
    <xf numFmtId="0" fontId="26" fillId="6" borderId="1" xfId="7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 wrapText="1"/>
    </xf>
    <xf numFmtId="4" fontId="26" fillId="0" borderId="1" xfId="7" applyNumberFormat="1" applyFont="1" applyBorder="1" applyAlignment="1">
      <alignment horizontal="center" vertical="center" wrapText="1"/>
    </xf>
    <xf numFmtId="0" fontId="43" fillId="9" borderId="1" xfId="0" applyFont="1" applyFill="1" applyBorder="1" applyAlignment="1">
      <alignment horizontal="center" vertical="center" wrapText="1"/>
    </xf>
    <xf numFmtId="0" fontId="26" fillId="9" borderId="1" xfId="7" applyFont="1" applyFill="1" applyBorder="1" applyAlignment="1">
      <alignment horizontal="center" vertical="center" wrapText="1"/>
    </xf>
    <xf numFmtId="4" fontId="26" fillId="0" borderId="1" xfId="7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4" fontId="4" fillId="3" borderId="0" xfId="0" applyNumberFormat="1" applyFont="1" applyFill="1" applyAlignment="1">
      <alignment horizontal="center" vertical="center" wrapText="1"/>
    </xf>
    <xf numFmtId="4" fontId="29" fillId="7" borderId="0" xfId="0" applyNumberFormat="1" applyFont="1" applyFill="1" applyAlignment="1">
      <alignment horizontal="center" vertical="center" wrapText="1"/>
    </xf>
    <xf numFmtId="4" fontId="24" fillId="0" borderId="0" xfId="0" applyNumberFormat="1" applyFont="1" applyAlignment="1">
      <alignment horizontal="center" vertical="center" wrapText="1"/>
    </xf>
    <xf numFmtId="0" fontId="24" fillId="8" borderId="0" xfId="0" applyFont="1" applyFill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41" fillId="16" borderId="0" xfId="0" applyFont="1" applyFill="1" applyBorder="1" applyAlignment="1">
      <alignment horizontal="center" vertical="center" wrapText="1"/>
    </xf>
    <xf numFmtId="0" fontId="42" fillId="16" borderId="0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43" fillId="3" borderId="1" xfId="0" applyFont="1" applyFill="1" applyBorder="1" applyAlignment="1">
      <alignment horizontal="left" vertical="center" wrapText="1"/>
    </xf>
    <xf numFmtId="0" fontId="26" fillId="8" borderId="1" xfId="0" applyFont="1" applyFill="1" applyBorder="1" applyAlignment="1">
      <alignment horizontal="left" vertical="center" wrapText="1"/>
    </xf>
    <xf numFmtId="0" fontId="41" fillId="0" borderId="0" xfId="0" applyFont="1" applyAlignment="1">
      <alignment horizontal="left" wrapText="1"/>
    </xf>
    <xf numFmtId="0" fontId="4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7" fillId="0" borderId="0" xfId="0" applyFont="1" applyAlignment="1">
      <alignment horizontal="center"/>
    </xf>
    <xf numFmtId="0" fontId="5" fillId="3" borderId="1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left" vertical="center" wrapText="1"/>
    </xf>
    <xf numFmtId="0" fontId="28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 wrapText="1"/>
    </xf>
    <xf numFmtId="0" fontId="28" fillId="8" borderId="3" xfId="0" applyFont="1" applyFill="1" applyBorder="1" applyAlignment="1">
      <alignment horizontal="center" vertical="center" wrapText="1"/>
    </xf>
    <xf numFmtId="0" fontId="28" fillId="8" borderId="2" xfId="0" applyFont="1" applyFill="1" applyBorder="1" applyAlignment="1">
      <alignment horizontal="center" vertical="center" wrapText="1"/>
    </xf>
    <xf numFmtId="0" fontId="48" fillId="16" borderId="1" xfId="0" applyFont="1" applyFill="1" applyBorder="1" applyAlignment="1">
      <alignment horizontal="center" vertical="center" wrapText="1"/>
    </xf>
    <xf numFmtId="0" fontId="25" fillId="0" borderId="0" xfId="0" applyFont="1"/>
    <xf numFmtId="0" fontId="25" fillId="7" borderId="2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 wrapText="1"/>
    </xf>
    <xf numFmtId="0" fontId="28" fillId="16" borderId="1" xfId="0" applyFont="1" applyFill="1" applyBorder="1" applyAlignment="1">
      <alignment horizontal="center" vertical="center" wrapText="1"/>
    </xf>
    <xf numFmtId="0" fontId="28" fillId="24" borderId="1" xfId="0" applyFont="1" applyFill="1" applyBorder="1" applyAlignment="1">
      <alignment horizontal="center" vertical="center" wrapText="1"/>
    </xf>
    <xf numFmtId="49" fontId="28" fillId="0" borderId="1" xfId="0" applyNumberFormat="1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25" fillId="0" borderId="1" xfId="0" applyFont="1" applyFill="1" applyBorder="1" applyAlignment="1">
      <alignment horizontal="center" vertical="center" wrapText="1"/>
    </xf>
    <xf numFmtId="0" fontId="28" fillId="7" borderId="11" xfId="0" applyFont="1" applyFill="1" applyBorder="1" applyAlignment="1">
      <alignment horizontal="center" vertical="center" wrapText="1"/>
    </xf>
    <xf numFmtId="0" fontId="28" fillId="7" borderId="3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wrapText="1"/>
    </xf>
    <xf numFmtId="1" fontId="28" fillId="0" borderId="1" xfId="0" applyNumberFormat="1" applyFont="1" applyFill="1" applyBorder="1" applyAlignment="1">
      <alignment horizontal="center" vertical="center" wrapText="1"/>
    </xf>
    <xf numFmtId="0" fontId="48" fillId="24" borderId="2" xfId="0" applyFont="1" applyFill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/>
    </xf>
    <xf numFmtId="0" fontId="48" fillId="24" borderId="1" xfId="0" applyFont="1" applyFill="1" applyBorder="1" applyAlignment="1">
      <alignment horizontal="center" vertical="center" wrapText="1"/>
    </xf>
    <xf numFmtId="0" fontId="48" fillId="24" borderId="3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wrapText="1"/>
    </xf>
    <xf numFmtId="0" fontId="28" fillId="0" borderId="2" xfId="0" applyFont="1" applyFill="1" applyBorder="1" applyAlignment="1">
      <alignment horizontal="center" vertical="center" wrapText="1"/>
    </xf>
    <xf numFmtId="1" fontId="24" fillId="0" borderId="1" xfId="0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24" fillId="16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24" borderId="1" xfId="0" applyFont="1" applyFill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wrapText="1"/>
    </xf>
    <xf numFmtId="0" fontId="24" fillId="0" borderId="13" xfId="0" applyFont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/>
    </xf>
    <xf numFmtId="0" fontId="28" fillId="0" borderId="1" xfId="7" applyFont="1" applyFill="1" applyBorder="1" applyAlignment="1">
      <alignment horizontal="center" vertical="center" wrapText="1"/>
    </xf>
    <xf numFmtId="0" fontId="48" fillId="24" borderId="43" xfId="0" applyFont="1" applyFill="1" applyBorder="1" applyAlignment="1">
      <alignment horizontal="center" vertical="center" wrapText="1"/>
    </xf>
    <xf numFmtId="0" fontId="48" fillId="16" borderId="43" xfId="0" applyFont="1" applyFill="1" applyBorder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49" fillId="0" borderId="1" xfId="0" quotePrefix="1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left" vertical="center" wrapText="1"/>
    </xf>
    <xf numFmtId="0" fontId="49" fillId="0" borderId="1" xfId="0" applyFont="1" applyFill="1" applyBorder="1" applyAlignment="1">
      <alignment horizontal="center" vertical="center" wrapText="1"/>
    </xf>
    <xf numFmtId="0" fontId="49" fillId="0" borderId="1" xfId="0" applyFont="1" applyFill="1" applyBorder="1" applyAlignment="1">
      <alignment horizontal="left" vertical="center" wrapText="1"/>
    </xf>
    <xf numFmtId="2" fontId="27" fillId="0" borderId="1" xfId="0" applyNumberFormat="1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horizontal="center" vertical="center" wrapText="1"/>
    </xf>
    <xf numFmtId="0" fontId="27" fillId="0" borderId="5" xfId="0" applyFont="1" applyFill="1" applyBorder="1" applyAlignment="1">
      <alignment horizontal="center" vertical="center" wrapText="1"/>
    </xf>
    <xf numFmtId="0" fontId="51" fillId="0" borderId="1" xfId="0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center" vertical="center" wrapText="1"/>
    </xf>
    <xf numFmtId="0" fontId="49" fillId="0" borderId="2" xfId="0" applyFont="1" applyFill="1" applyBorder="1" applyAlignment="1">
      <alignment horizontal="center" vertical="center" wrapText="1"/>
    </xf>
    <xf numFmtId="4" fontId="17" fillId="0" borderId="1" xfId="3" applyNumberFormat="1" applyFont="1" applyFill="1" applyBorder="1" applyAlignment="1">
      <alignment vertical="center" wrapText="1"/>
    </xf>
    <xf numFmtId="0" fontId="27" fillId="0" borderId="1" xfId="7" applyFont="1" applyFill="1" applyBorder="1" applyAlignment="1">
      <alignment horizontal="left" vertical="center" wrapText="1"/>
    </xf>
    <xf numFmtId="0" fontId="27" fillId="0" borderId="1" xfId="7" applyFont="1" applyFill="1" applyBorder="1" applyAlignment="1">
      <alignment horizontal="center" vertical="center" wrapText="1"/>
    </xf>
    <xf numFmtId="4" fontId="27" fillId="0" borderId="1" xfId="7" applyNumberFormat="1" applyFont="1" applyFill="1" applyBorder="1" applyAlignment="1">
      <alignment horizontal="center" vertical="center" wrapText="1"/>
    </xf>
    <xf numFmtId="0" fontId="27" fillId="0" borderId="3" xfId="7" applyFont="1" applyFill="1" applyBorder="1" applyAlignment="1">
      <alignment horizontal="center" vertical="center" wrapText="1"/>
    </xf>
    <xf numFmtId="0" fontId="49" fillId="0" borderId="3" xfId="7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center" wrapText="1"/>
    </xf>
    <xf numFmtId="0" fontId="28" fillId="0" borderId="0" xfId="0" applyFont="1" applyAlignment="1">
      <alignment horizont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4" fontId="49" fillId="0" borderId="1" xfId="0" applyNumberFormat="1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1" xfId="7" applyFont="1" applyFill="1" applyBorder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32" fillId="3" borderId="35" xfId="0" applyFont="1" applyFill="1" applyBorder="1" applyAlignment="1">
      <alignment horizontal="center" vertical="center"/>
    </xf>
    <xf numFmtId="0" fontId="33" fillId="3" borderId="36" xfId="0" applyFont="1" applyFill="1" applyBorder="1" applyAlignment="1"/>
    <xf numFmtId="0" fontId="33" fillId="3" borderId="37" xfId="0" applyFont="1" applyFill="1" applyBorder="1" applyAlignment="1"/>
    <xf numFmtId="0" fontId="33" fillId="3" borderId="38" xfId="0" applyFont="1" applyFill="1" applyBorder="1" applyAlignment="1"/>
    <xf numFmtId="0" fontId="33" fillId="3" borderId="1" xfId="0" applyFont="1" applyFill="1" applyBorder="1" applyAlignment="1"/>
    <xf numFmtId="0" fontId="33" fillId="3" borderId="39" xfId="0" applyFont="1" applyFill="1" applyBorder="1" applyAlignment="1"/>
    <xf numFmtId="0" fontId="38" fillId="7" borderId="38" xfId="0" applyFont="1" applyFill="1" applyBorder="1" applyAlignment="1">
      <alignment horizontal="center" vertical="center"/>
    </xf>
    <xf numFmtId="0" fontId="34" fillId="7" borderId="1" xfId="0" applyFont="1" applyFill="1" applyBorder="1" applyAlignment="1"/>
    <xf numFmtId="0" fontId="34" fillId="7" borderId="39" xfId="0" applyFont="1" applyFill="1" applyBorder="1" applyAlignment="1"/>
    <xf numFmtId="0" fontId="34" fillId="7" borderId="40" xfId="0" applyFont="1" applyFill="1" applyBorder="1" applyAlignment="1"/>
    <xf numFmtId="0" fontId="34" fillId="7" borderId="41" xfId="0" applyFont="1" applyFill="1" applyBorder="1" applyAlignment="1"/>
    <xf numFmtId="0" fontId="34" fillId="7" borderId="42" xfId="0" applyFont="1" applyFill="1" applyBorder="1" applyAlignment="1"/>
    <xf numFmtId="0" fontId="31" fillId="22" borderId="22" xfId="0" applyFont="1" applyFill="1" applyBorder="1" applyAlignment="1">
      <alignment horizontal="center" vertical="center"/>
    </xf>
    <xf numFmtId="0" fontId="13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19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 wrapText="1"/>
    </xf>
    <xf numFmtId="0" fontId="20" fillId="13" borderId="7" xfId="0" applyFont="1" applyFill="1" applyBorder="1" applyAlignment="1">
      <alignment horizontal="center" vertical="center" wrapText="1"/>
    </xf>
    <xf numFmtId="0" fontId="20" fillId="13" borderId="3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center" vertical="center" wrapText="1"/>
    </xf>
    <xf numFmtId="0" fontId="20" fillId="11" borderId="7" xfId="0" applyFont="1" applyFill="1" applyBorder="1" applyAlignment="1">
      <alignment horizontal="center" vertical="center" wrapText="1"/>
    </xf>
    <xf numFmtId="0" fontId="20" fillId="11" borderId="3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16" borderId="2" xfId="0" applyFont="1" applyFill="1" applyBorder="1" applyAlignment="1">
      <alignment horizontal="center" vertical="center" wrapText="1"/>
    </xf>
    <xf numFmtId="0" fontId="17" fillId="16" borderId="7" xfId="0" applyFont="1" applyFill="1" applyBorder="1" applyAlignment="1">
      <alignment horizontal="center" vertical="center" wrapText="1"/>
    </xf>
    <xf numFmtId="0" fontId="17" fillId="16" borderId="3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0" fillId="9" borderId="7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4" fontId="7" fillId="10" borderId="1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" fontId="17" fillId="0" borderId="2" xfId="0" applyNumberFormat="1" applyFont="1" applyFill="1" applyBorder="1" applyAlignment="1">
      <alignment horizontal="center" vertical="center" wrapText="1"/>
    </xf>
    <xf numFmtId="1" fontId="17" fillId="0" borderId="7" xfId="0" applyNumberFormat="1" applyFont="1" applyFill="1" applyBorder="1" applyAlignment="1">
      <alignment horizontal="center" vertical="center" wrapText="1"/>
    </xf>
    <xf numFmtId="1" fontId="17" fillId="0" borderId="3" xfId="0" applyNumberFormat="1" applyFont="1" applyFill="1" applyBorder="1" applyAlignment="1">
      <alignment horizontal="center" vertical="center" wrapText="1"/>
    </xf>
    <xf numFmtId="14" fontId="17" fillId="0" borderId="2" xfId="0" applyNumberFormat="1" applyFont="1" applyFill="1" applyBorder="1" applyAlignment="1">
      <alignment horizontal="center" vertical="center" wrapText="1"/>
    </xf>
    <xf numFmtId="14" fontId="17" fillId="0" borderId="7" xfId="0" applyNumberFormat="1" applyFont="1" applyFill="1" applyBorder="1" applyAlignment="1">
      <alignment horizontal="center" vertical="center" wrapText="1"/>
    </xf>
    <xf numFmtId="14" fontId="17" fillId="0" borderId="3" xfId="0" applyNumberFormat="1" applyFont="1" applyFill="1" applyBorder="1" applyAlignment="1">
      <alignment horizontal="center" vertical="center" wrapText="1"/>
    </xf>
    <xf numFmtId="1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4" fontId="17" fillId="0" borderId="1" xfId="0" applyNumberFormat="1" applyFont="1" applyFill="1" applyBorder="1" applyAlignment="1">
      <alignment horizontal="center" vertical="center" wrapText="1"/>
    </xf>
    <xf numFmtId="4" fontId="17" fillId="8" borderId="1" xfId="5" applyNumberFormat="1" applyFont="1" applyFill="1" applyBorder="1" applyAlignment="1">
      <alignment horizontal="center" vertical="center" wrapText="1"/>
    </xf>
    <xf numFmtId="4" fontId="17" fillId="8" borderId="1" xfId="0" applyNumberFormat="1" applyFont="1" applyFill="1" applyBorder="1" applyAlignment="1">
      <alignment horizontal="center" vertical="center" wrapText="1"/>
    </xf>
    <xf numFmtId="4" fontId="17" fillId="0" borderId="1" xfId="5" applyNumberFormat="1" applyFont="1" applyFill="1" applyBorder="1" applyAlignment="1">
      <alignment horizontal="center" vertical="center" wrapText="1"/>
    </xf>
    <xf numFmtId="4" fontId="17" fillId="0" borderId="2" xfId="0" applyNumberFormat="1" applyFont="1" applyBorder="1" applyAlignment="1">
      <alignment horizontal="center" vertical="center" wrapText="1"/>
    </xf>
    <xf numFmtId="4" fontId="17" fillId="0" borderId="7" xfId="0" applyNumberFormat="1" applyFont="1" applyBorder="1" applyAlignment="1">
      <alignment horizontal="center" vertical="center" wrapText="1"/>
    </xf>
    <xf numFmtId="4" fontId="17" fillId="0" borderId="3" xfId="0" applyNumberFormat="1" applyFont="1" applyBorder="1" applyAlignment="1">
      <alignment horizontal="center" vertical="center" wrapText="1"/>
    </xf>
    <xf numFmtId="4" fontId="17" fillId="0" borderId="2" xfId="5" applyNumberFormat="1" applyFont="1" applyFill="1" applyBorder="1" applyAlignment="1">
      <alignment horizontal="center" vertical="center" wrapText="1"/>
    </xf>
    <xf numFmtId="4" fontId="17" fillId="0" borderId="7" xfId="5" applyNumberFormat="1" applyFont="1" applyFill="1" applyBorder="1" applyAlignment="1">
      <alignment horizontal="center" vertical="center" wrapText="1"/>
    </xf>
    <xf numFmtId="4" fontId="17" fillId="0" borderId="3" xfId="5" applyNumberFormat="1" applyFont="1" applyFill="1" applyBorder="1" applyAlignment="1">
      <alignment horizontal="center" vertical="center" wrapText="1"/>
    </xf>
    <xf numFmtId="0" fontId="20" fillId="14" borderId="2" xfId="0" applyFont="1" applyFill="1" applyBorder="1" applyAlignment="1">
      <alignment horizontal="center" vertical="center" wrapText="1"/>
    </xf>
    <xf numFmtId="0" fontId="20" fillId="14" borderId="7" xfId="0" applyFont="1" applyFill="1" applyBorder="1" applyAlignment="1">
      <alignment horizontal="center" vertical="center" wrapText="1"/>
    </xf>
    <xf numFmtId="0" fontId="20" fillId="14" borderId="3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0" borderId="1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0" fillId="18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7" fillId="11" borderId="7" xfId="0" applyFont="1" applyFill="1" applyBorder="1" applyAlignment="1">
      <alignment horizontal="center" vertical="center" wrapText="1"/>
    </xf>
    <xf numFmtId="0" fontId="17" fillId="11" borderId="3" xfId="0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4" fontId="17" fillId="0" borderId="2" xfId="1" applyNumberFormat="1" applyFont="1" applyFill="1" applyBorder="1" applyAlignment="1">
      <alignment horizontal="center" vertical="center" wrapText="1"/>
    </xf>
    <xf numFmtId="4" fontId="17" fillId="0" borderId="7" xfId="1" applyNumberFormat="1" applyFont="1" applyFill="1" applyBorder="1" applyAlignment="1">
      <alignment horizontal="center" vertical="center" wrapText="1"/>
    </xf>
    <xf numFmtId="4" fontId="17" fillId="0" borderId="3" xfId="1" applyNumberFormat="1" applyFont="1" applyFill="1" applyBorder="1" applyAlignment="1">
      <alignment horizontal="center" vertical="center" wrapText="1"/>
    </xf>
    <xf numFmtId="0" fontId="17" fillId="15" borderId="2" xfId="0" applyFont="1" applyFill="1" applyBorder="1" applyAlignment="1">
      <alignment horizontal="center" vertical="center" wrapText="1"/>
    </xf>
    <xf numFmtId="0" fontId="17" fillId="15" borderId="7" xfId="0" applyFont="1" applyFill="1" applyBorder="1" applyAlignment="1">
      <alignment horizontal="center" vertical="center" wrapText="1"/>
    </xf>
    <xf numFmtId="0" fontId="17" fillId="15" borderId="3" xfId="0" applyFont="1" applyFill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horizontal="center" vertical="center" wrapText="1"/>
    </xf>
    <xf numFmtId="0" fontId="17" fillId="0" borderId="3" xfId="0" applyNumberFormat="1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9" borderId="7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4" fontId="17" fillId="0" borderId="1" xfId="3" applyNumberFormat="1" applyFont="1" applyFill="1" applyBorder="1" applyAlignment="1">
      <alignment horizontal="center" vertical="center" wrapText="1"/>
    </xf>
    <xf numFmtId="4" fontId="17" fillId="8" borderId="1" xfId="3" applyNumberFormat="1" applyFont="1" applyFill="1" applyBorder="1" applyAlignment="1">
      <alignment horizontal="center" vertical="center" wrapText="1"/>
    </xf>
    <xf numFmtId="4" fontId="17" fillId="0" borderId="2" xfId="0" applyNumberFormat="1" applyFont="1" applyFill="1" applyBorder="1" applyAlignment="1">
      <alignment horizontal="center" vertical="center" wrapText="1"/>
    </xf>
    <xf numFmtId="4" fontId="17" fillId="0" borderId="7" xfId="0" applyNumberFormat="1" applyFont="1" applyFill="1" applyBorder="1" applyAlignment="1">
      <alignment horizontal="center" vertical="center" wrapText="1"/>
    </xf>
    <xf numFmtId="4" fontId="17" fillId="0" borderId="3" xfId="0" applyNumberFormat="1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 wrapText="1"/>
    </xf>
    <xf numFmtId="4" fontId="17" fillId="8" borderId="2" xfId="0" applyNumberFormat="1" applyFont="1" applyFill="1" applyBorder="1" applyAlignment="1">
      <alignment horizontal="center" vertical="center" wrapText="1"/>
    </xf>
    <xf numFmtId="4" fontId="17" fillId="8" borderId="7" xfId="0" applyNumberFormat="1" applyFont="1" applyFill="1" applyBorder="1" applyAlignment="1">
      <alignment horizontal="center" vertical="center" wrapText="1"/>
    </xf>
    <xf numFmtId="4" fontId="17" fillId="8" borderId="3" xfId="0" applyNumberFormat="1" applyFont="1" applyFill="1" applyBorder="1" applyAlignment="1">
      <alignment horizontal="center" vertical="center" wrapText="1"/>
    </xf>
    <xf numFmtId="4" fontId="17" fillId="8" borderId="1" xfId="1" applyNumberFormat="1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166" fontId="17" fillId="15" borderId="1" xfId="0" applyNumberFormat="1" applyFont="1" applyFill="1" applyBorder="1" applyAlignment="1" applyProtection="1">
      <alignment horizontal="center" vertical="center" wrapText="1"/>
    </xf>
    <xf numFmtId="166" fontId="17" fillId="0" borderId="1" xfId="0" applyNumberFormat="1" applyFont="1" applyFill="1" applyBorder="1" applyAlignment="1" applyProtection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4" fontId="20" fillId="10" borderId="2" xfId="0" applyNumberFormat="1" applyFont="1" applyFill="1" applyBorder="1" applyAlignment="1">
      <alignment horizontal="center" vertical="center" wrapText="1"/>
    </xf>
    <xf numFmtId="4" fontId="20" fillId="10" borderId="3" xfId="0" applyNumberFormat="1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20" fillId="15" borderId="2" xfId="0" applyFont="1" applyFill="1" applyBorder="1" applyAlignment="1">
      <alignment horizontal="center" vertical="center" wrapText="1"/>
    </xf>
    <xf numFmtId="0" fontId="20" fillId="15" borderId="7" xfId="0" applyFont="1" applyFill="1" applyBorder="1" applyAlignment="1">
      <alignment horizontal="center" vertical="center" wrapText="1"/>
    </xf>
    <xf numFmtId="0" fontId="20" fillId="15" borderId="3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4" fontId="20" fillId="10" borderId="1" xfId="0" applyNumberFormat="1" applyFont="1" applyFill="1" applyBorder="1" applyAlignment="1">
      <alignment horizontal="center" vertical="center" wrapText="1"/>
    </xf>
    <xf numFmtId="4" fontId="17" fillId="0" borderId="1" xfId="0" applyNumberFormat="1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 wrapText="1"/>
    </xf>
    <xf numFmtId="4" fontId="24" fillId="0" borderId="1" xfId="0" applyNumberFormat="1" applyFont="1" applyFill="1" applyBorder="1" applyAlignment="1">
      <alignment horizontal="center" vertical="center" wrapText="1"/>
    </xf>
    <xf numFmtId="0" fontId="43" fillId="18" borderId="1" xfId="0" applyFont="1" applyFill="1" applyBorder="1" applyAlignment="1">
      <alignment horizontal="center" vertical="center" wrapText="1"/>
    </xf>
    <xf numFmtId="0" fontId="26" fillId="0" borderId="1" xfId="7" applyFont="1" applyBorder="1" applyAlignment="1">
      <alignment horizontal="center" vertical="center" wrapText="1"/>
    </xf>
    <xf numFmtId="0" fontId="26" fillId="0" borderId="1" xfId="0" applyFont="1" applyBorder="1" applyAlignment="1">
      <alignment vertical="center" wrapText="1"/>
    </xf>
    <xf numFmtId="4" fontId="26" fillId="0" borderId="1" xfId="7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4" fontId="26" fillId="0" borderId="1" xfId="0" applyNumberFormat="1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center" vertical="center" wrapText="1"/>
    </xf>
    <xf numFmtId="0" fontId="26" fillId="6" borderId="1" xfId="7" applyFont="1" applyFill="1" applyBorder="1" applyAlignment="1">
      <alignment horizontal="center" vertical="center" wrapText="1"/>
    </xf>
    <xf numFmtId="0" fontId="43" fillId="19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46" fillId="10" borderId="1" xfId="0" applyFont="1" applyFill="1" applyBorder="1" applyAlignment="1">
      <alignment horizontal="center" vertical="center" wrapText="1"/>
    </xf>
    <xf numFmtId="4" fontId="46" fillId="10" borderId="1" xfId="0" applyNumberFormat="1" applyFont="1" applyFill="1" applyBorder="1" applyAlignment="1">
      <alignment horizontal="center" vertical="center" wrapText="1"/>
    </xf>
    <xf numFmtId="0" fontId="46" fillId="7" borderId="1" xfId="0" applyFont="1" applyFill="1" applyBorder="1" applyAlignment="1">
      <alignment horizontal="center" vertical="center" wrapText="1"/>
    </xf>
    <xf numFmtId="0" fontId="46" fillId="5" borderId="1" xfId="0" applyFont="1" applyFill="1" applyBorder="1" applyAlignment="1">
      <alignment horizontal="center" vertical="center" wrapText="1"/>
    </xf>
    <xf numFmtId="0" fontId="46" fillId="3" borderId="1" xfId="0" applyFont="1" applyFill="1" applyBorder="1" applyAlignment="1">
      <alignment horizontal="center" vertical="center" wrapText="1"/>
    </xf>
    <xf numFmtId="0" fontId="46" fillId="10" borderId="1" xfId="0" applyFont="1" applyFill="1" applyBorder="1" applyAlignment="1">
      <alignment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43" fillId="9" borderId="1" xfId="0" applyFont="1" applyFill="1" applyBorder="1" applyAlignment="1">
      <alignment horizontal="center" vertical="center" wrapText="1"/>
    </xf>
    <xf numFmtId="4" fontId="26" fillId="0" borderId="1" xfId="0" applyNumberFormat="1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 vertical="center" wrapText="1"/>
    </xf>
    <xf numFmtId="0" fontId="25" fillId="10" borderId="3" xfId="0" applyFont="1" applyFill="1" applyBorder="1" applyAlignment="1">
      <alignment horizontal="center" vertical="center" wrapText="1"/>
    </xf>
    <xf numFmtId="4" fontId="25" fillId="10" borderId="2" xfId="0" applyNumberFormat="1" applyFont="1" applyFill="1" applyBorder="1" applyAlignment="1">
      <alignment horizontal="center" vertical="center" wrapText="1"/>
    </xf>
    <xf numFmtId="4" fontId="25" fillId="10" borderId="3" xfId="0" applyNumberFormat="1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25" fillId="7" borderId="6" xfId="0" applyFont="1" applyFill="1" applyBorder="1" applyAlignment="1">
      <alignment horizontal="center" vertical="center" wrapText="1"/>
    </xf>
    <xf numFmtId="0" fontId="25" fillId="7" borderId="5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0" fontId="25" fillId="5" borderId="3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8" fillId="8" borderId="2" xfId="0" applyFont="1" applyFill="1" applyBorder="1" applyAlignment="1">
      <alignment horizontal="center" vertical="center" wrapText="1"/>
    </xf>
    <xf numFmtId="0" fontId="28" fillId="8" borderId="3" xfId="0" applyFont="1" applyFill="1" applyBorder="1" applyAlignment="1">
      <alignment horizontal="center" vertical="center" wrapText="1"/>
    </xf>
    <xf numFmtId="4" fontId="17" fillId="8" borderId="1" xfId="0" applyNumberFormat="1" applyFont="1" applyFill="1" applyBorder="1" applyAlignment="1">
      <alignment horizontal="center" vertical="center"/>
    </xf>
    <xf numFmtId="166" fontId="17" fillId="8" borderId="2" xfId="4" applyNumberFormat="1" applyFont="1" applyFill="1" applyBorder="1" applyAlignment="1">
      <alignment horizontal="center" vertical="center" wrapText="1"/>
    </xf>
    <xf numFmtId="166" fontId="17" fillId="8" borderId="3" xfId="4" applyNumberFormat="1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4" fontId="17" fillId="8" borderId="2" xfId="1" applyNumberFormat="1" applyFont="1" applyFill="1" applyBorder="1" applyAlignment="1">
      <alignment horizontal="center" vertical="center"/>
    </xf>
    <xf numFmtId="4" fontId="17" fillId="8" borderId="3" xfId="1" applyNumberFormat="1" applyFont="1" applyFill="1" applyBorder="1" applyAlignment="1">
      <alignment horizontal="center" vertical="center"/>
    </xf>
    <xf numFmtId="4" fontId="17" fillId="8" borderId="1" xfId="3" applyNumberFormat="1" applyFont="1" applyFill="1" applyBorder="1" applyAlignment="1">
      <alignment horizontal="center" vertical="center"/>
    </xf>
    <xf numFmtId="0" fontId="28" fillId="21" borderId="1" xfId="0" applyFont="1" applyFill="1" applyBorder="1" applyAlignment="1">
      <alignment horizontal="center"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0" fontId="17" fillId="0" borderId="1" xfId="7" applyFont="1" applyFill="1" applyBorder="1" applyAlignment="1">
      <alignment horizontal="left" vertical="center" wrapText="1"/>
    </xf>
    <xf numFmtId="0" fontId="17" fillId="20" borderId="1" xfId="0" applyFont="1" applyFill="1" applyBorder="1" applyAlignment="1">
      <alignment horizontal="center" vertical="center" wrapText="1"/>
    </xf>
    <xf numFmtId="4" fontId="17" fillId="0" borderId="1" xfId="7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wrapText="1"/>
    </xf>
    <xf numFmtId="0" fontId="25" fillId="10" borderId="1" xfId="0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left" vertical="center"/>
    </xf>
    <xf numFmtId="0" fontId="26" fillId="0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left" vertical="center"/>
    </xf>
    <xf numFmtId="0" fontId="26" fillId="0" borderId="3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0">
    <cellStyle name="Comma" xfId="1" builtinId="3"/>
    <cellStyle name="Comma 2" xfId="3"/>
    <cellStyle name="Comma 4" xfId="5"/>
    <cellStyle name="Normal" xfId="0" builtinId="0"/>
    <cellStyle name="Normal 10 2" xfId="9"/>
    <cellStyle name="Normal 2" xfId="4"/>
    <cellStyle name="Normal 2 2" xfId="7"/>
    <cellStyle name="Normal 3" xfId="8"/>
    <cellStyle name="Normal 4" xfId="2"/>
    <cellStyle name="Normal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297016</xdr:colOff>
      <xdr:row>1</xdr:row>
      <xdr:rowOff>594032</xdr:rowOff>
    </xdr:from>
    <xdr:to>
      <xdr:col>11</xdr:col>
      <xdr:colOff>594033</xdr:colOff>
      <xdr:row>2</xdr:row>
      <xdr:rowOff>1706331</xdr:rowOff>
    </xdr:to>
    <xdr:pic>
      <xdr:nvPicPr>
        <xdr:cNvPr id="2" name="Picture 1" descr="Software Technology Parks of India - Presentation Gov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9597" y="798871"/>
          <a:ext cx="3984113" cy="1921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8"/>
  <sheetViews>
    <sheetView topLeftCell="A3" zoomScaleNormal="100" zoomScaleSheetLayoutView="93" workbookViewId="0">
      <selection activeCell="C4" sqref="C4:O6"/>
    </sheetView>
  </sheetViews>
  <sheetFormatPr defaultRowHeight="15" x14ac:dyDescent="0.25"/>
  <sheetData>
    <row r="1" spans="1:17" ht="15.75" thickBo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7" ht="63.75" customHeight="1" x14ac:dyDescent="0.2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</row>
    <row r="3" spans="1:17" ht="135.75" customHeight="1" x14ac:dyDescent="0.25">
      <c r="A3" s="11"/>
      <c r="B3" s="6"/>
      <c r="C3" s="6"/>
      <c r="D3" s="6"/>
      <c r="E3" s="6"/>
      <c r="F3" s="6"/>
      <c r="G3" s="7"/>
      <c r="H3" s="7"/>
      <c r="I3" s="7"/>
      <c r="J3" s="7"/>
      <c r="K3" s="7"/>
      <c r="L3" s="7"/>
      <c r="M3" s="7"/>
      <c r="N3" s="6"/>
      <c r="O3" s="6"/>
      <c r="P3" s="6"/>
      <c r="Q3" s="12"/>
    </row>
    <row r="4" spans="1:17" ht="15" customHeight="1" x14ac:dyDescent="0.25">
      <c r="A4" s="11"/>
      <c r="B4" s="6"/>
      <c r="C4" s="396" t="s">
        <v>1374</v>
      </c>
      <c r="D4" s="396"/>
      <c r="E4" s="396"/>
      <c r="F4" s="396"/>
      <c r="G4" s="396"/>
      <c r="H4" s="396"/>
      <c r="I4" s="396"/>
      <c r="J4" s="396"/>
      <c r="K4" s="396"/>
      <c r="L4" s="396"/>
      <c r="M4" s="396"/>
      <c r="N4" s="396"/>
      <c r="O4" s="396"/>
      <c r="P4" s="6"/>
      <c r="Q4" s="12"/>
    </row>
    <row r="5" spans="1:17" ht="15" customHeight="1" x14ac:dyDescent="0.25">
      <c r="A5" s="11"/>
      <c r="B5" s="6"/>
      <c r="C5" s="396"/>
      <c r="D5" s="396"/>
      <c r="E5" s="396"/>
      <c r="F5" s="396"/>
      <c r="G5" s="396"/>
      <c r="H5" s="396"/>
      <c r="I5" s="396"/>
      <c r="J5" s="396"/>
      <c r="K5" s="396"/>
      <c r="L5" s="396"/>
      <c r="M5" s="396"/>
      <c r="N5" s="396"/>
      <c r="O5" s="396"/>
      <c r="P5" s="6"/>
      <c r="Q5" s="12"/>
    </row>
    <row r="6" spans="1:17" ht="120.75" customHeight="1" x14ac:dyDescent="0.25">
      <c r="A6" s="11"/>
      <c r="B6" s="6"/>
      <c r="C6" s="396"/>
      <c r="D6" s="396"/>
      <c r="E6" s="396"/>
      <c r="F6" s="396"/>
      <c r="G6" s="396"/>
      <c r="H6" s="396"/>
      <c r="I6" s="396"/>
      <c r="J6" s="396"/>
      <c r="K6" s="396"/>
      <c r="L6" s="396"/>
      <c r="M6" s="396"/>
      <c r="N6" s="396"/>
      <c r="O6" s="396"/>
      <c r="P6" s="6"/>
      <c r="Q6" s="12"/>
    </row>
    <row r="7" spans="1:17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12"/>
    </row>
    <row r="8" spans="1:17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12"/>
    </row>
    <row r="9" spans="1:17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12"/>
    </row>
    <row r="10" spans="1:17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12"/>
    </row>
    <row r="11" spans="1:17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12"/>
    </row>
    <row r="12" spans="1:17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12"/>
    </row>
    <row r="13" spans="1:17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12"/>
    </row>
    <row r="14" spans="1:17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12"/>
    </row>
    <row r="15" spans="1:17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12"/>
    </row>
    <row r="16" spans="1:17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2"/>
    </row>
    <row r="17" spans="1:17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12"/>
    </row>
    <row r="18" spans="1:17" ht="15.75" thickBot="1" x14ac:dyDescent="0.3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5"/>
    </row>
    <row r="19" spans="1:1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7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7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7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7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7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</sheetData>
  <mergeCells count="1">
    <mergeCell ref="C4:O6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7"/>
  <sheetViews>
    <sheetView zoomScale="70" zoomScaleNormal="70" zoomScaleSheetLayoutView="98" workbookViewId="0">
      <selection activeCell="F14" sqref="F14"/>
    </sheetView>
  </sheetViews>
  <sheetFormatPr defaultColWidth="14.42578125" defaultRowHeight="15" x14ac:dyDescent="0.25"/>
  <cols>
    <col min="1" max="1" width="6.5703125" style="2" customWidth="1"/>
    <col min="2" max="2" width="10.85546875" style="2" customWidth="1"/>
    <col min="3" max="3" width="16.42578125" style="2" customWidth="1"/>
    <col min="4" max="4" width="51.85546875" style="2" customWidth="1"/>
    <col min="5" max="5" width="22.7109375" style="2" customWidth="1"/>
    <col min="6" max="6" width="30.140625" style="2" customWidth="1"/>
    <col min="7" max="17" width="8.7109375" style="2" customWidth="1"/>
    <col min="18" max="16384" width="14.42578125" style="2"/>
  </cols>
  <sheetData>
    <row r="1" spans="2:6" ht="14.25" customHeight="1" x14ac:dyDescent="0.25"/>
    <row r="2" spans="2:6" ht="14.25" customHeight="1" thickBot="1" x14ac:dyDescent="0.3">
      <c r="B2" s="3"/>
      <c r="C2" s="3"/>
      <c r="D2" s="3"/>
      <c r="E2" s="3"/>
    </row>
    <row r="3" spans="2:6" ht="14.25" customHeight="1" x14ac:dyDescent="0.25">
      <c r="B3" s="3"/>
      <c r="C3" s="397" t="s">
        <v>1372</v>
      </c>
      <c r="D3" s="398"/>
      <c r="E3" s="398"/>
      <c r="F3" s="399"/>
    </row>
    <row r="4" spans="2:6" ht="14.25" customHeight="1" x14ac:dyDescent="0.25">
      <c r="B4" s="3"/>
      <c r="C4" s="400"/>
      <c r="D4" s="401"/>
      <c r="E4" s="401"/>
      <c r="F4" s="402"/>
    </row>
    <row r="5" spans="2:6" ht="14.25" customHeight="1" x14ac:dyDescent="0.25">
      <c r="B5" s="3"/>
      <c r="C5" s="400"/>
      <c r="D5" s="401"/>
      <c r="E5" s="401"/>
      <c r="F5" s="402"/>
    </row>
    <row r="6" spans="2:6" ht="14.25" customHeight="1" x14ac:dyDescent="0.25">
      <c r="C6" s="403" t="s">
        <v>1365</v>
      </c>
      <c r="D6" s="404"/>
      <c r="E6" s="404"/>
      <c r="F6" s="405"/>
    </row>
    <row r="7" spans="2:6" ht="14.25" customHeight="1" thickBot="1" x14ac:dyDescent="0.3">
      <c r="C7" s="406"/>
      <c r="D7" s="407"/>
      <c r="E7" s="407"/>
      <c r="F7" s="408"/>
    </row>
    <row r="8" spans="2:6" ht="21.75" customHeight="1" x14ac:dyDescent="0.25">
      <c r="C8" s="409" t="s">
        <v>1366</v>
      </c>
      <c r="D8" s="410"/>
      <c r="E8" s="410"/>
      <c r="F8" s="411"/>
    </row>
    <row r="9" spans="2:6" s="26" customFormat="1" ht="18.75" x14ac:dyDescent="0.3">
      <c r="C9" s="16" t="s">
        <v>1367</v>
      </c>
      <c r="D9" s="17" t="s">
        <v>17</v>
      </c>
      <c r="E9" s="18" t="s">
        <v>1368</v>
      </c>
      <c r="F9" s="19" t="s">
        <v>1369</v>
      </c>
    </row>
    <row r="10" spans="2:6" ht="18.75" x14ac:dyDescent="0.25">
      <c r="C10" s="414">
        <v>1</v>
      </c>
      <c r="D10" s="161" t="s">
        <v>1467</v>
      </c>
      <c r="E10" s="202">
        <v>1</v>
      </c>
      <c r="F10" s="163">
        <v>1900000</v>
      </c>
    </row>
    <row r="11" spans="2:6" ht="18.75" x14ac:dyDescent="0.25">
      <c r="C11" s="415"/>
      <c r="D11" s="161" t="s">
        <v>1466</v>
      </c>
      <c r="E11" s="202">
        <v>1</v>
      </c>
      <c r="F11" s="163">
        <v>950000</v>
      </c>
    </row>
    <row r="12" spans="2:6" ht="18.75" x14ac:dyDescent="0.25">
      <c r="C12" s="415"/>
      <c r="D12" s="161" t="s">
        <v>1468</v>
      </c>
      <c r="E12" s="202">
        <v>1</v>
      </c>
      <c r="F12" s="163">
        <v>28500000</v>
      </c>
    </row>
    <row r="13" spans="2:6" ht="18.75" x14ac:dyDescent="0.25">
      <c r="C13" s="415"/>
      <c r="D13" s="161" t="s">
        <v>1469</v>
      </c>
      <c r="E13" s="202">
        <v>1</v>
      </c>
      <c r="F13" s="163">
        <v>27380778</v>
      </c>
    </row>
    <row r="14" spans="2:6" ht="18.75" x14ac:dyDescent="0.25">
      <c r="C14" s="416"/>
      <c r="D14" s="161" t="s">
        <v>1470</v>
      </c>
      <c r="E14" s="202">
        <v>1</v>
      </c>
      <c r="F14" s="163">
        <v>72324623</v>
      </c>
    </row>
    <row r="15" spans="2:6" ht="18.75" x14ac:dyDescent="0.3">
      <c r="C15" s="20">
        <v>2</v>
      </c>
      <c r="D15" s="161" t="s">
        <v>21</v>
      </c>
      <c r="E15" s="21">
        <v>116</v>
      </c>
      <c r="F15" s="163">
        <v>21492925.899999999</v>
      </c>
    </row>
    <row r="16" spans="2:6" ht="18.75" x14ac:dyDescent="0.3">
      <c r="C16" s="20">
        <v>3</v>
      </c>
      <c r="D16" s="161" t="s">
        <v>1246</v>
      </c>
      <c r="E16" s="21">
        <v>149</v>
      </c>
      <c r="F16" s="163">
        <v>12584164.210000001</v>
      </c>
    </row>
    <row r="17" spans="1:13" ht="18.75" x14ac:dyDescent="0.3">
      <c r="C17" s="20">
        <v>4</v>
      </c>
      <c r="D17" s="161" t="s">
        <v>18</v>
      </c>
      <c r="E17" s="21">
        <v>463</v>
      </c>
      <c r="F17" s="163">
        <v>20531414.98</v>
      </c>
    </row>
    <row r="18" spans="1:13" ht="18.75" x14ac:dyDescent="0.3">
      <c r="C18" s="20">
        <v>5</v>
      </c>
      <c r="D18" s="161" t="s">
        <v>22</v>
      </c>
      <c r="E18" s="21">
        <v>64</v>
      </c>
      <c r="F18" s="163">
        <v>2267426.9500000002</v>
      </c>
    </row>
    <row r="19" spans="1:13" ht="18.75" x14ac:dyDescent="0.3">
      <c r="C19" s="20">
        <v>6</v>
      </c>
      <c r="D19" s="161" t="s">
        <v>20</v>
      </c>
      <c r="E19" s="21">
        <v>2944</v>
      </c>
      <c r="F19" s="163">
        <v>24404542.879999999</v>
      </c>
    </row>
    <row r="20" spans="1:13" ht="18.75" x14ac:dyDescent="0.3">
      <c r="C20" s="20">
        <v>7</v>
      </c>
      <c r="D20" s="161" t="s">
        <v>19</v>
      </c>
      <c r="E20" s="21">
        <v>476</v>
      </c>
      <c r="F20" s="163">
        <v>3538431.17</v>
      </c>
    </row>
    <row r="21" spans="1:13" ht="18.75" x14ac:dyDescent="0.3">
      <c r="C21" s="20">
        <v>8</v>
      </c>
      <c r="D21" s="162" t="s">
        <v>1888</v>
      </c>
      <c r="E21" s="23">
        <v>315</v>
      </c>
      <c r="F21" s="164"/>
    </row>
    <row r="22" spans="1:13" s="165" customFormat="1" ht="21.75" thickBot="1" x14ac:dyDescent="0.4">
      <c r="C22" s="166"/>
      <c r="D22" s="167" t="s">
        <v>1247</v>
      </c>
      <c r="E22" s="169">
        <f>SUM(E10:E21)</f>
        <v>4532</v>
      </c>
      <c r="F22" s="168">
        <f>SUM(F10:F20)</f>
        <v>215874307.08999997</v>
      </c>
    </row>
    <row r="26" spans="1:13" x14ac:dyDescent="0.25">
      <c r="A26" s="412"/>
      <c r="B26" s="412"/>
      <c r="C26" s="412"/>
      <c r="D26" s="412"/>
      <c r="E26" s="412"/>
      <c r="F26" s="412"/>
      <c r="G26" s="25"/>
      <c r="H26" s="25"/>
      <c r="I26" s="25"/>
      <c r="J26" s="25"/>
      <c r="K26" s="25"/>
      <c r="L26" s="25"/>
      <c r="M26" s="25"/>
    </row>
    <row r="27" spans="1:13" x14ac:dyDescent="0.25">
      <c r="A27" s="413"/>
      <c r="B27" s="413"/>
      <c r="C27" s="413"/>
      <c r="D27" s="413"/>
      <c r="E27" s="413"/>
      <c r="F27" s="413"/>
    </row>
  </sheetData>
  <mergeCells count="6">
    <mergeCell ref="C3:F5"/>
    <mergeCell ref="C6:F7"/>
    <mergeCell ref="C8:F8"/>
    <mergeCell ref="A26:F26"/>
    <mergeCell ref="A27:F27"/>
    <mergeCell ref="C10:C1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9"/>
  <sheetViews>
    <sheetView tabSelected="1" topLeftCell="B1" zoomScale="70" zoomScaleNormal="70" zoomScaleSheetLayoutView="86" workbookViewId="0">
      <selection activeCell="E7" sqref="E7"/>
    </sheetView>
  </sheetViews>
  <sheetFormatPr defaultColWidth="9.140625" defaultRowHeight="15" x14ac:dyDescent="0.25"/>
  <cols>
    <col min="1" max="1" width="9.140625" style="141"/>
    <col min="2" max="2" width="7.28515625" style="141" bestFit="1" customWidth="1"/>
    <col min="3" max="3" width="45.85546875" style="152" customWidth="1"/>
    <col min="4" max="4" width="8.5703125" style="153" customWidth="1"/>
    <col min="5" max="5" width="26.5703125" style="152" customWidth="1"/>
    <col min="6" max="6" width="29.28515625" style="152" customWidth="1"/>
    <col min="7" max="7" width="24.42578125" style="152" customWidth="1"/>
    <col min="8" max="8" width="28.28515625" style="152" customWidth="1"/>
    <col min="9" max="255" width="9.140625" style="141"/>
    <col min="256" max="256" width="5.42578125" style="141" customWidth="1"/>
    <col min="257" max="257" width="42.140625" style="141" customWidth="1"/>
    <col min="258" max="258" width="8.5703125" style="141" customWidth="1"/>
    <col min="259" max="259" width="32.5703125" style="141" customWidth="1"/>
    <col min="260" max="260" width="32.140625" style="141" customWidth="1"/>
    <col min="261" max="261" width="22.7109375" style="141" customWidth="1"/>
    <col min="262" max="262" width="23.5703125" style="141" customWidth="1"/>
    <col min="263" max="263" width="10.140625" style="141" bestFit="1" customWidth="1"/>
    <col min="264" max="264" width="15" style="141" customWidth="1"/>
    <col min="265" max="511" width="9.140625" style="141"/>
    <col min="512" max="512" width="5.42578125" style="141" customWidth="1"/>
    <col min="513" max="513" width="42.140625" style="141" customWidth="1"/>
    <col min="514" max="514" width="8.5703125" style="141" customWidth="1"/>
    <col min="515" max="515" width="32.5703125" style="141" customWidth="1"/>
    <col min="516" max="516" width="32.140625" style="141" customWidth="1"/>
    <col min="517" max="517" width="22.7109375" style="141" customWidth="1"/>
    <col min="518" max="518" width="23.5703125" style="141" customWidth="1"/>
    <col min="519" max="519" width="10.140625" style="141" bestFit="1" customWidth="1"/>
    <col min="520" max="520" width="15" style="141" customWidth="1"/>
    <col min="521" max="767" width="9.140625" style="141"/>
    <col min="768" max="768" width="5.42578125" style="141" customWidth="1"/>
    <col min="769" max="769" width="42.140625" style="141" customWidth="1"/>
    <col min="770" max="770" width="8.5703125" style="141" customWidth="1"/>
    <col min="771" max="771" width="32.5703125" style="141" customWidth="1"/>
    <col min="772" max="772" width="32.140625" style="141" customWidth="1"/>
    <col min="773" max="773" width="22.7109375" style="141" customWidth="1"/>
    <col min="774" max="774" width="23.5703125" style="141" customWidth="1"/>
    <col min="775" max="775" width="10.140625" style="141" bestFit="1" customWidth="1"/>
    <col min="776" max="776" width="15" style="141" customWidth="1"/>
    <col min="777" max="1023" width="9.140625" style="141"/>
    <col min="1024" max="1024" width="5.42578125" style="141" customWidth="1"/>
    <col min="1025" max="1025" width="42.140625" style="141" customWidth="1"/>
    <col min="1026" max="1026" width="8.5703125" style="141" customWidth="1"/>
    <col min="1027" max="1027" width="32.5703125" style="141" customWidth="1"/>
    <col min="1028" max="1028" width="32.140625" style="141" customWidth="1"/>
    <col min="1029" max="1029" width="22.7109375" style="141" customWidth="1"/>
    <col min="1030" max="1030" width="23.5703125" style="141" customWidth="1"/>
    <col min="1031" max="1031" width="10.140625" style="141" bestFit="1" customWidth="1"/>
    <col min="1032" max="1032" width="15" style="141" customWidth="1"/>
    <col min="1033" max="1279" width="9.140625" style="141"/>
    <col min="1280" max="1280" width="5.42578125" style="141" customWidth="1"/>
    <col min="1281" max="1281" width="42.140625" style="141" customWidth="1"/>
    <col min="1282" max="1282" width="8.5703125" style="141" customWidth="1"/>
    <col min="1283" max="1283" width="32.5703125" style="141" customWidth="1"/>
    <col min="1284" max="1284" width="32.140625" style="141" customWidth="1"/>
    <col min="1285" max="1285" width="22.7109375" style="141" customWidth="1"/>
    <col min="1286" max="1286" width="23.5703125" style="141" customWidth="1"/>
    <col min="1287" max="1287" width="10.140625" style="141" bestFit="1" customWidth="1"/>
    <col min="1288" max="1288" width="15" style="141" customWidth="1"/>
    <col min="1289" max="1535" width="9.140625" style="141"/>
    <col min="1536" max="1536" width="5.42578125" style="141" customWidth="1"/>
    <col min="1537" max="1537" width="42.140625" style="141" customWidth="1"/>
    <col min="1538" max="1538" width="8.5703125" style="141" customWidth="1"/>
    <col min="1539" max="1539" width="32.5703125" style="141" customWidth="1"/>
    <col min="1540" max="1540" width="32.140625" style="141" customWidth="1"/>
    <col min="1541" max="1541" width="22.7109375" style="141" customWidth="1"/>
    <col min="1542" max="1542" width="23.5703125" style="141" customWidth="1"/>
    <col min="1543" max="1543" width="10.140625" style="141" bestFit="1" customWidth="1"/>
    <col min="1544" max="1544" width="15" style="141" customWidth="1"/>
    <col min="1545" max="1791" width="9.140625" style="141"/>
    <col min="1792" max="1792" width="5.42578125" style="141" customWidth="1"/>
    <col min="1793" max="1793" width="42.140625" style="141" customWidth="1"/>
    <col min="1794" max="1794" width="8.5703125" style="141" customWidth="1"/>
    <col min="1795" max="1795" width="32.5703125" style="141" customWidth="1"/>
    <col min="1796" max="1796" width="32.140625" style="141" customWidth="1"/>
    <col min="1797" max="1797" width="22.7109375" style="141" customWidth="1"/>
    <col min="1798" max="1798" width="23.5703125" style="141" customWidth="1"/>
    <col min="1799" max="1799" width="10.140625" style="141" bestFit="1" customWidth="1"/>
    <col min="1800" max="1800" width="15" style="141" customWidth="1"/>
    <col min="1801" max="2047" width="9.140625" style="141"/>
    <col min="2048" max="2048" width="5.42578125" style="141" customWidth="1"/>
    <col min="2049" max="2049" width="42.140625" style="141" customWidth="1"/>
    <col min="2050" max="2050" width="8.5703125" style="141" customWidth="1"/>
    <col min="2051" max="2051" width="32.5703125" style="141" customWidth="1"/>
    <col min="2052" max="2052" width="32.140625" style="141" customWidth="1"/>
    <col min="2053" max="2053" width="22.7109375" style="141" customWidth="1"/>
    <col min="2054" max="2054" width="23.5703125" style="141" customWidth="1"/>
    <col min="2055" max="2055" width="10.140625" style="141" bestFit="1" customWidth="1"/>
    <col min="2056" max="2056" width="15" style="141" customWidth="1"/>
    <col min="2057" max="2303" width="9.140625" style="141"/>
    <col min="2304" max="2304" width="5.42578125" style="141" customWidth="1"/>
    <col min="2305" max="2305" width="42.140625" style="141" customWidth="1"/>
    <col min="2306" max="2306" width="8.5703125" style="141" customWidth="1"/>
    <col min="2307" max="2307" width="32.5703125" style="141" customWidth="1"/>
    <col min="2308" max="2308" width="32.140625" style="141" customWidth="1"/>
    <col min="2309" max="2309" width="22.7109375" style="141" customWidth="1"/>
    <col min="2310" max="2310" width="23.5703125" style="141" customWidth="1"/>
    <col min="2311" max="2311" width="10.140625" style="141" bestFit="1" customWidth="1"/>
    <col min="2312" max="2312" width="15" style="141" customWidth="1"/>
    <col min="2313" max="2559" width="9.140625" style="141"/>
    <col min="2560" max="2560" width="5.42578125" style="141" customWidth="1"/>
    <col min="2561" max="2561" width="42.140625" style="141" customWidth="1"/>
    <col min="2562" max="2562" width="8.5703125" style="141" customWidth="1"/>
    <col min="2563" max="2563" width="32.5703125" style="141" customWidth="1"/>
    <col min="2564" max="2564" width="32.140625" style="141" customWidth="1"/>
    <col min="2565" max="2565" width="22.7109375" style="141" customWidth="1"/>
    <col min="2566" max="2566" width="23.5703125" style="141" customWidth="1"/>
    <col min="2567" max="2567" width="10.140625" style="141" bestFit="1" customWidth="1"/>
    <col min="2568" max="2568" width="15" style="141" customWidth="1"/>
    <col min="2569" max="2815" width="9.140625" style="141"/>
    <col min="2816" max="2816" width="5.42578125" style="141" customWidth="1"/>
    <col min="2817" max="2817" width="42.140625" style="141" customWidth="1"/>
    <col min="2818" max="2818" width="8.5703125" style="141" customWidth="1"/>
    <col min="2819" max="2819" width="32.5703125" style="141" customWidth="1"/>
    <col min="2820" max="2820" width="32.140625" style="141" customWidth="1"/>
    <col min="2821" max="2821" width="22.7109375" style="141" customWidth="1"/>
    <col min="2822" max="2822" width="23.5703125" style="141" customWidth="1"/>
    <col min="2823" max="2823" width="10.140625" style="141" bestFit="1" customWidth="1"/>
    <col min="2824" max="2824" width="15" style="141" customWidth="1"/>
    <col min="2825" max="3071" width="9.140625" style="141"/>
    <col min="3072" max="3072" width="5.42578125" style="141" customWidth="1"/>
    <col min="3073" max="3073" width="42.140625" style="141" customWidth="1"/>
    <col min="3074" max="3074" width="8.5703125" style="141" customWidth="1"/>
    <col min="3075" max="3075" width="32.5703125" style="141" customWidth="1"/>
    <col min="3076" max="3076" width="32.140625" style="141" customWidth="1"/>
    <col min="3077" max="3077" width="22.7109375" style="141" customWidth="1"/>
    <col min="3078" max="3078" width="23.5703125" style="141" customWidth="1"/>
    <col min="3079" max="3079" width="10.140625" style="141" bestFit="1" customWidth="1"/>
    <col min="3080" max="3080" width="15" style="141" customWidth="1"/>
    <col min="3081" max="3327" width="9.140625" style="141"/>
    <col min="3328" max="3328" width="5.42578125" style="141" customWidth="1"/>
    <col min="3329" max="3329" width="42.140625" style="141" customWidth="1"/>
    <col min="3330" max="3330" width="8.5703125" style="141" customWidth="1"/>
    <col min="3331" max="3331" width="32.5703125" style="141" customWidth="1"/>
    <col min="3332" max="3332" width="32.140625" style="141" customWidth="1"/>
    <col min="3333" max="3333" width="22.7109375" style="141" customWidth="1"/>
    <col min="3334" max="3334" width="23.5703125" style="141" customWidth="1"/>
    <col min="3335" max="3335" width="10.140625" style="141" bestFit="1" customWidth="1"/>
    <col min="3336" max="3336" width="15" style="141" customWidth="1"/>
    <col min="3337" max="3583" width="9.140625" style="141"/>
    <col min="3584" max="3584" width="5.42578125" style="141" customWidth="1"/>
    <col min="3585" max="3585" width="42.140625" style="141" customWidth="1"/>
    <col min="3586" max="3586" width="8.5703125" style="141" customWidth="1"/>
    <col min="3587" max="3587" width="32.5703125" style="141" customWidth="1"/>
    <col min="3588" max="3588" width="32.140625" style="141" customWidth="1"/>
    <col min="3589" max="3589" width="22.7109375" style="141" customWidth="1"/>
    <col min="3590" max="3590" width="23.5703125" style="141" customWidth="1"/>
    <col min="3591" max="3591" width="10.140625" style="141" bestFit="1" customWidth="1"/>
    <col min="3592" max="3592" width="15" style="141" customWidth="1"/>
    <col min="3593" max="3839" width="9.140625" style="141"/>
    <col min="3840" max="3840" width="5.42578125" style="141" customWidth="1"/>
    <col min="3841" max="3841" width="42.140625" style="141" customWidth="1"/>
    <col min="3842" max="3842" width="8.5703125" style="141" customWidth="1"/>
    <col min="3843" max="3843" width="32.5703125" style="141" customWidth="1"/>
    <col min="3844" max="3844" width="32.140625" style="141" customWidth="1"/>
    <col min="3845" max="3845" width="22.7109375" style="141" customWidth="1"/>
    <col min="3846" max="3846" width="23.5703125" style="141" customWidth="1"/>
    <col min="3847" max="3847" width="10.140625" style="141" bestFit="1" customWidth="1"/>
    <col min="3848" max="3848" width="15" style="141" customWidth="1"/>
    <col min="3849" max="4095" width="9.140625" style="141"/>
    <col min="4096" max="4096" width="5.42578125" style="141" customWidth="1"/>
    <col min="4097" max="4097" width="42.140625" style="141" customWidth="1"/>
    <col min="4098" max="4098" width="8.5703125" style="141" customWidth="1"/>
    <col min="4099" max="4099" width="32.5703125" style="141" customWidth="1"/>
    <col min="4100" max="4100" width="32.140625" style="141" customWidth="1"/>
    <col min="4101" max="4101" width="22.7109375" style="141" customWidth="1"/>
    <col min="4102" max="4102" width="23.5703125" style="141" customWidth="1"/>
    <col min="4103" max="4103" width="10.140625" style="141" bestFit="1" customWidth="1"/>
    <col min="4104" max="4104" width="15" style="141" customWidth="1"/>
    <col min="4105" max="4351" width="9.140625" style="141"/>
    <col min="4352" max="4352" width="5.42578125" style="141" customWidth="1"/>
    <col min="4353" max="4353" width="42.140625" style="141" customWidth="1"/>
    <col min="4354" max="4354" width="8.5703125" style="141" customWidth="1"/>
    <col min="4355" max="4355" width="32.5703125" style="141" customWidth="1"/>
    <col min="4356" max="4356" width="32.140625" style="141" customWidth="1"/>
    <col min="4357" max="4357" width="22.7109375" style="141" customWidth="1"/>
    <col min="4358" max="4358" width="23.5703125" style="141" customWidth="1"/>
    <col min="4359" max="4359" width="10.140625" style="141" bestFit="1" customWidth="1"/>
    <col min="4360" max="4360" width="15" style="141" customWidth="1"/>
    <col min="4361" max="4607" width="9.140625" style="141"/>
    <col min="4608" max="4608" width="5.42578125" style="141" customWidth="1"/>
    <col min="4609" max="4609" width="42.140625" style="141" customWidth="1"/>
    <col min="4610" max="4610" width="8.5703125" style="141" customWidth="1"/>
    <col min="4611" max="4611" width="32.5703125" style="141" customWidth="1"/>
    <col min="4612" max="4612" width="32.140625" style="141" customWidth="1"/>
    <col min="4613" max="4613" width="22.7109375" style="141" customWidth="1"/>
    <col min="4614" max="4614" width="23.5703125" style="141" customWidth="1"/>
    <col min="4615" max="4615" width="10.140625" style="141" bestFit="1" customWidth="1"/>
    <col min="4616" max="4616" width="15" style="141" customWidth="1"/>
    <col min="4617" max="4863" width="9.140625" style="141"/>
    <col min="4864" max="4864" width="5.42578125" style="141" customWidth="1"/>
    <col min="4865" max="4865" width="42.140625" style="141" customWidth="1"/>
    <col min="4866" max="4866" width="8.5703125" style="141" customWidth="1"/>
    <col min="4867" max="4867" width="32.5703125" style="141" customWidth="1"/>
    <col min="4868" max="4868" width="32.140625" style="141" customWidth="1"/>
    <col min="4869" max="4869" width="22.7109375" style="141" customWidth="1"/>
    <col min="4870" max="4870" width="23.5703125" style="141" customWidth="1"/>
    <col min="4871" max="4871" width="10.140625" style="141" bestFit="1" customWidth="1"/>
    <col min="4872" max="4872" width="15" style="141" customWidth="1"/>
    <col min="4873" max="5119" width="9.140625" style="141"/>
    <col min="5120" max="5120" width="5.42578125" style="141" customWidth="1"/>
    <col min="5121" max="5121" width="42.140625" style="141" customWidth="1"/>
    <col min="5122" max="5122" width="8.5703125" style="141" customWidth="1"/>
    <col min="5123" max="5123" width="32.5703125" style="141" customWidth="1"/>
    <col min="5124" max="5124" width="32.140625" style="141" customWidth="1"/>
    <col min="5125" max="5125" width="22.7109375" style="141" customWidth="1"/>
    <col min="5126" max="5126" width="23.5703125" style="141" customWidth="1"/>
    <col min="5127" max="5127" width="10.140625" style="141" bestFit="1" customWidth="1"/>
    <col min="5128" max="5128" width="15" style="141" customWidth="1"/>
    <col min="5129" max="5375" width="9.140625" style="141"/>
    <col min="5376" max="5376" width="5.42578125" style="141" customWidth="1"/>
    <col min="5377" max="5377" width="42.140625" style="141" customWidth="1"/>
    <col min="5378" max="5378" width="8.5703125" style="141" customWidth="1"/>
    <col min="5379" max="5379" width="32.5703125" style="141" customWidth="1"/>
    <col min="5380" max="5380" width="32.140625" style="141" customWidth="1"/>
    <col min="5381" max="5381" width="22.7109375" style="141" customWidth="1"/>
    <col min="5382" max="5382" width="23.5703125" style="141" customWidth="1"/>
    <col min="5383" max="5383" width="10.140625" style="141" bestFit="1" customWidth="1"/>
    <col min="5384" max="5384" width="15" style="141" customWidth="1"/>
    <col min="5385" max="5631" width="9.140625" style="141"/>
    <col min="5632" max="5632" width="5.42578125" style="141" customWidth="1"/>
    <col min="5633" max="5633" width="42.140625" style="141" customWidth="1"/>
    <col min="5634" max="5634" width="8.5703125" style="141" customWidth="1"/>
    <col min="5635" max="5635" width="32.5703125" style="141" customWidth="1"/>
    <col min="5636" max="5636" width="32.140625" style="141" customWidth="1"/>
    <col min="5637" max="5637" width="22.7109375" style="141" customWidth="1"/>
    <col min="5638" max="5638" width="23.5703125" style="141" customWidth="1"/>
    <col min="5639" max="5639" width="10.140625" style="141" bestFit="1" customWidth="1"/>
    <col min="5640" max="5640" width="15" style="141" customWidth="1"/>
    <col min="5641" max="5887" width="9.140625" style="141"/>
    <col min="5888" max="5888" width="5.42578125" style="141" customWidth="1"/>
    <col min="5889" max="5889" width="42.140625" style="141" customWidth="1"/>
    <col min="5890" max="5890" width="8.5703125" style="141" customWidth="1"/>
    <col min="5891" max="5891" width="32.5703125" style="141" customWidth="1"/>
    <col min="5892" max="5892" width="32.140625" style="141" customWidth="1"/>
    <col min="5893" max="5893" width="22.7109375" style="141" customWidth="1"/>
    <col min="5894" max="5894" width="23.5703125" style="141" customWidth="1"/>
    <col min="5895" max="5895" width="10.140625" style="141" bestFit="1" customWidth="1"/>
    <col min="5896" max="5896" width="15" style="141" customWidth="1"/>
    <col min="5897" max="6143" width="9.140625" style="141"/>
    <col min="6144" max="6144" width="5.42578125" style="141" customWidth="1"/>
    <col min="6145" max="6145" width="42.140625" style="141" customWidth="1"/>
    <col min="6146" max="6146" width="8.5703125" style="141" customWidth="1"/>
    <col min="6147" max="6147" width="32.5703125" style="141" customWidth="1"/>
    <col min="6148" max="6148" width="32.140625" style="141" customWidth="1"/>
    <col min="6149" max="6149" width="22.7109375" style="141" customWidth="1"/>
    <col min="6150" max="6150" width="23.5703125" style="141" customWidth="1"/>
    <col min="6151" max="6151" width="10.140625" style="141" bestFit="1" customWidth="1"/>
    <col min="6152" max="6152" width="15" style="141" customWidth="1"/>
    <col min="6153" max="6399" width="9.140625" style="141"/>
    <col min="6400" max="6400" width="5.42578125" style="141" customWidth="1"/>
    <col min="6401" max="6401" width="42.140625" style="141" customWidth="1"/>
    <col min="6402" max="6402" width="8.5703125" style="141" customWidth="1"/>
    <col min="6403" max="6403" width="32.5703125" style="141" customWidth="1"/>
    <col min="6404" max="6404" width="32.140625" style="141" customWidth="1"/>
    <col min="6405" max="6405" width="22.7109375" style="141" customWidth="1"/>
    <col min="6406" max="6406" width="23.5703125" style="141" customWidth="1"/>
    <col min="6407" max="6407" width="10.140625" style="141" bestFit="1" customWidth="1"/>
    <col min="6408" max="6408" width="15" style="141" customWidth="1"/>
    <col min="6409" max="6655" width="9.140625" style="141"/>
    <col min="6656" max="6656" width="5.42578125" style="141" customWidth="1"/>
    <col min="6657" max="6657" width="42.140625" style="141" customWidth="1"/>
    <col min="6658" max="6658" width="8.5703125" style="141" customWidth="1"/>
    <col min="6659" max="6659" width="32.5703125" style="141" customWidth="1"/>
    <col min="6660" max="6660" width="32.140625" style="141" customWidth="1"/>
    <col min="6661" max="6661" width="22.7109375" style="141" customWidth="1"/>
    <col min="6662" max="6662" width="23.5703125" style="141" customWidth="1"/>
    <col min="6663" max="6663" width="10.140625" style="141" bestFit="1" customWidth="1"/>
    <col min="6664" max="6664" width="15" style="141" customWidth="1"/>
    <col min="6665" max="6911" width="9.140625" style="141"/>
    <col min="6912" max="6912" width="5.42578125" style="141" customWidth="1"/>
    <col min="6913" max="6913" width="42.140625" style="141" customWidth="1"/>
    <col min="6914" max="6914" width="8.5703125" style="141" customWidth="1"/>
    <col min="6915" max="6915" width="32.5703125" style="141" customWidth="1"/>
    <col min="6916" max="6916" width="32.140625" style="141" customWidth="1"/>
    <col min="6917" max="6917" width="22.7109375" style="141" customWidth="1"/>
    <col min="6918" max="6918" width="23.5703125" style="141" customWidth="1"/>
    <col min="6919" max="6919" width="10.140625" style="141" bestFit="1" customWidth="1"/>
    <col min="6920" max="6920" width="15" style="141" customWidth="1"/>
    <col min="6921" max="7167" width="9.140625" style="141"/>
    <col min="7168" max="7168" width="5.42578125" style="141" customWidth="1"/>
    <col min="7169" max="7169" width="42.140625" style="141" customWidth="1"/>
    <col min="7170" max="7170" width="8.5703125" style="141" customWidth="1"/>
    <col min="7171" max="7171" width="32.5703125" style="141" customWidth="1"/>
    <col min="7172" max="7172" width="32.140625" style="141" customWidth="1"/>
    <col min="7173" max="7173" width="22.7109375" style="141" customWidth="1"/>
    <col min="7174" max="7174" width="23.5703125" style="141" customWidth="1"/>
    <col min="7175" max="7175" width="10.140625" style="141" bestFit="1" customWidth="1"/>
    <col min="7176" max="7176" width="15" style="141" customWidth="1"/>
    <col min="7177" max="7423" width="9.140625" style="141"/>
    <col min="7424" max="7424" width="5.42578125" style="141" customWidth="1"/>
    <col min="7425" max="7425" width="42.140625" style="141" customWidth="1"/>
    <col min="7426" max="7426" width="8.5703125" style="141" customWidth="1"/>
    <col min="7427" max="7427" width="32.5703125" style="141" customWidth="1"/>
    <col min="7428" max="7428" width="32.140625" style="141" customWidth="1"/>
    <col min="7429" max="7429" width="22.7109375" style="141" customWidth="1"/>
    <col min="7430" max="7430" width="23.5703125" style="141" customWidth="1"/>
    <col min="7431" max="7431" width="10.140625" style="141" bestFit="1" customWidth="1"/>
    <col min="7432" max="7432" width="15" style="141" customWidth="1"/>
    <col min="7433" max="7679" width="9.140625" style="141"/>
    <col min="7680" max="7680" width="5.42578125" style="141" customWidth="1"/>
    <col min="7681" max="7681" width="42.140625" style="141" customWidth="1"/>
    <col min="7682" max="7682" width="8.5703125" style="141" customWidth="1"/>
    <col min="7683" max="7683" width="32.5703125" style="141" customWidth="1"/>
    <col min="7684" max="7684" width="32.140625" style="141" customWidth="1"/>
    <col min="7685" max="7685" width="22.7109375" style="141" customWidth="1"/>
    <col min="7686" max="7686" width="23.5703125" style="141" customWidth="1"/>
    <col min="7687" max="7687" width="10.140625" style="141" bestFit="1" customWidth="1"/>
    <col min="7688" max="7688" width="15" style="141" customWidth="1"/>
    <col min="7689" max="7935" width="9.140625" style="141"/>
    <col min="7936" max="7936" width="5.42578125" style="141" customWidth="1"/>
    <col min="7937" max="7937" width="42.140625" style="141" customWidth="1"/>
    <col min="7938" max="7938" width="8.5703125" style="141" customWidth="1"/>
    <col min="7939" max="7939" width="32.5703125" style="141" customWidth="1"/>
    <col min="7940" max="7940" width="32.140625" style="141" customWidth="1"/>
    <col min="7941" max="7941" width="22.7109375" style="141" customWidth="1"/>
    <col min="7942" max="7942" width="23.5703125" style="141" customWidth="1"/>
    <col min="7943" max="7943" width="10.140625" style="141" bestFit="1" customWidth="1"/>
    <col min="7944" max="7944" width="15" style="141" customWidth="1"/>
    <col min="7945" max="8191" width="9.140625" style="141"/>
    <col min="8192" max="8192" width="5.42578125" style="141" customWidth="1"/>
    <col min="8193" max="8193" width="42.140625" style="141" customWidth="1"/>
    <col min="8194" max="8194" width="8.5703125" style="141" customWidth="1"/>
    <col min="8195" max="8195" width="32.5703125" style="141" customWidth="1"/>
    <col min="8196" max="8196" width="32.140625" style="141" customWidth="1"/>
    <col min="8197" max="8197" width="22.7109375" style="141" customWidth="1"/>
    <col min="8198" max="8198" width="23.5703125" style="141" customWidth="1"/>
    <col min="8199" max="8199" width="10.140625" style="141" bestFit="1" customWidth="1"/>
    <col min="8200" max="8200" width="15" style="141" customWidth="1"/>
    <col min="8201" max="8447" width="9.140625" style="141"/>
    <col min="8448" max="8448" width="5.42578125" style="141" customWidth="1"/>
    <col min="8449" max="8449" width="42.140625" style="141" customWidth="1"/>
    <col min="8450" max="8450" width="8.5703125" style="141" customWidth="1"/>
    <col min="8451" max="8451" width="32.5703125" style="141" customWidth="1"/>
    <col min="8452" max="8452" width="32.140625" style="141" customWidth="1"/>
    <col min="8453" max="8453" width="22.7109375" style="141" customWidth="1"/>
    <col min="8454" max="8454" width="23.5703125" style="141" customWidth="1"/>
    <col min="8455" max="8455" width="10.140625" style="141" bestFit="1" customWidth="1"/>
    <col min="8456" max="8456" width="15" style="141" customWidth="1"/>
    <col min="8457" max="8703" width="9.140625" style="141"/>
    <col min="8704" max="8704" width="5.42578125" style="141" customWidth="1"/>
    <col min="8705" max="8705" width="42.140625" style="141" customWidth="1"/>
    <col min="8706" max="8706" width="8.5703125" style="141" customWidth="1"/>
    <col min="8707" max="8707" width="32.5703125" style="141" customWidth="1"/>
    <col min="8708" max="8708" width="32.140625" style="141" customWidth="1"/>
    <col min="8709" max="8709" width="22.7109375" style="141" customWidth="1"/>
    <col min="8710" max="8710" width="23.5703125" style="141" customWidth="1"/>
    <col min="8711" max="8711" width="10.140625" style="141" bestFit="1" customWidth="1"/>
    <col min="8712" max="8712" width="15" style="141" customWidth="1"/>
    <col min="8713" max="8959" width="9.140625" style="141"/>
    <col min="8960" max="8960" width="5.42578125" style="141" customWidth="1"/>
    <col min="8961" max="8961" width="42.140625" style="141" customWidth="1"/>
    <col min="8962" max="8962" width="8.5703125" style="141" customWidth="1"/>
    <col min="8963" max="8963" width="32.5703125" style="141" customWidth="1"/>
    <col min="8964" max="8964" width="32.140625" style="141" customWidth="1"/>
    <col min="8965" max="8965" width="22.7109375" style="141" customWidth="1"/>
    <col min="8966" max="8966" width="23.5703125" style="141" customWidth="1"/>
    <col min="8967" max="8967" width="10.140625" style="141" bestFit="1" customWidth="1"/>
    <col min="8968" max="8968" width="15" style="141" customWidth="1"/>
    <col min="8969" max="9215" width="9.140625" style="141"/>
    <col min="9216" max="9216" width="5.42578125" style="141" customWidth="1"/>
    <col min="9217" max="9217" width="42.140625" style="141" customWidth="1"/>
    <col min="9218" max="9218" width="8.5703125" style="141" customWidth="1"/>
    <col min="9219" max="9219" width="32.5703125" style="141" customWidth="1"/>
    <col min="9220" max="9220" width="32.140625" style="141" customWidth="1"/>
    <col min="9221" max="9221" width="22.7109375" style="141" customWidth="1"/>
    <col min="9222" max="9222" width="23.5703125" style="141" customWidth="1"/>
    <col min="9223" max="9223" width="10.140625" style="141" bestFit="1" customWidth="1"/>
    <col min="9224" max="9224" width="15" style="141" customWidth="1"/>
    <col min="9225" max="9471" width="9.140625" style="141"/>
    <col min="9472" max="9472" width="5.42578125" style="141" customWidth="1"/>
    <col min="9473" max="9473" width="42.140625" style="141" customWidth="1"/>
    <col min="9474" max="9474" width="8.5703125" style="141" customWidth="1"/>
    <col min="9475" max="9475" width="32.5703125" style="141" customWidth="1"/>
    <col min="9476" max="9476" width="32.140625" style="141" customWidth="1"/>
    <col min="9477" max="9477" width="22.7109375" style="141" customWidth="1"/>
    <col min="9478" max="9478" width="23.5703125" style="141" customWidth="1"/>
    <col min="9479" max="9479" width="10.140625" style="141" bestFit="1" customWidth="1"/>
    <col min="9480" max="9480" width="15" style="141" customWidth="1"/>
    <col min="9481" max="9727" width="9.140625" style="141"/>
    <col min="9728" max="9728" width="5.42578125" style="141" customWidth="1"/>
    <col min="9729" max="9729" width="42.140625" style="141" customWidth="1"/>
    <col min="9730" max="9730" width="8.5703125" style="141" customWidth="1"/>
    <col min="9731" max="9731" width="32.5703125" style="141" customWidth="1"/>
    <col min="9732" max="9732" width="32.140625" style="141" customWidth="1"/>
    <col min="9733" max="9733" width="22.7109375" style="141" customWidth="1"/>
    <col min="9734" max="9734" width="23.5703125" style="141" customWidth="1"/>
    <col min="9735" max="9735" width="10.140625" style="141" bestFit="1" customWidth="1"/>
    <col min="9736" max="9736" width="15" style="141" customWidth="1"/>
    <col min="9737" max="9983" width="9.140625" style="141"/>
    <col min="9984" max="9984" width="5.42578125" style="141" customWidth="1"/>
    <col min="9985" max="9985" width="42.140625" style="141" customWidth="1"/>
    <col min="9986" max="9986" width="8.5703125" style="141" customWidth="1"/>
    <col min="9987" max="9987" width="32.5703125" style="141" customWidth="1"/>
    <col min="9988" max="9988" width="32.140625" style="141" customWidth="1"/>
    <col min="9989" max="9989" width="22.7109375" style="141" customWidth="1"/>
    <col min="9990" max="9990" width="23.5703125" style="141" customWidth="1"/>
    <col min="9991" max="9991" width="10.140625" style="141" bestFit="1" customWidth="1"/>
    <col min="9992" max="9992" width="15" style="141" customWidth="1"/>
    <col min="9993" max="10239" width="9.140625" style="141"/>
    <col min="10240" max="10240" width="5.42578125" style="141" customWidth="1"/>
    <col min="10241" max="10241" width="42.140625" style="141" customWidth="1"/>
    <col min="10242" max="10242" width="8.5703125" style="141" customWidth="1"/>
    <col min="10243" max="10243" width="32.5703125" style="141" customWidth="1"/>
    <col min="10244" max="10244" width="32.140625" style="141" customWidth="1"/>
    <col min="10245" max="10245" width="22.7109375" style="141" customWidth="1"/>
    <col min="10246" max="10246" width="23.5703125" style="141" customWidth="1"/>
    <col min="10247" max="10247" width="10.140625" style="141" bestFit="1" customWidth="1"/>
    <col min="10248" max="10248" width="15" style="141" customWidth="1"/>
    <col min="10249" max="10495" width="9.140625" style="141"/>
    <col min="10496" max="10496" width="5.42578125" style="141" customWidth="1"/>
    <col min="10497" max="10497" width="42.140625" style="141" customWidth="1"/>
    <col min="10498" max="10498" width="8.5703125" style="141" customWidth="1"/>
    <col min="10499" max="10499" width="32.5703125" style="141" customWidth="1"/>
    <col min="10500" max="10500" width="32.140625" style="141" customWidth="1"/>
    <col min="10501" max="10501" width="22.7109375" style="141" customWidth="1"/>
    <col min="10502" max="10502" width="23.5703125" style="141" customWidth="1"/>
    <col min="10503" max="10503" width="10.140625" style="141" bestFit="1" customWidth="1"/>
    <col min="10504" max="10504" width="15" style="141" customWidth="1"/>
    <col min="10505" max="10751" width="9.140625" style="141"/>
    <col min="10752" max="10752" width="5.42578125" style="141" customWidth="1"/>
    <col min="10753" max="10753" width="42.140625" style="141" customWidth="1"/>
    <col min="10754" max="10754" width="8.5703125" style="141" customWidth="1"/>
    <col min="10755" max="10755" width="32.5703125" style="141" customWidth="1"/>
    <col min="10756" max="10756" width="32.140625" style="141" customWidth="1"/>
    <col min="10757" max="10757" width="22.7109375" style="141" customWidth="1"/>
    <col min="10758" max="10758" width="23.5703125" style="141" customWidth="1"/>
    <col min="10759" max="10759" width="10.140625" style="141" bestFit="1" customWidth="1"/>
    <col min="10760" max="10760" width="15" style="141" customWidth="1"/>
    <col min="10761" max="11007" width="9.140625" style="141"/>
    <col min="11008" max="11008" width="5.42578125" style="141" customWidth="1"/>
    <col min="11009" max="11009" width="42.140625" style="141" customWidth="1"/>
    <col min="11010" max="11010" width="8.5703125" style="141" customWidth="1"/>
    <col min="11011" max="11011" width="32.5703125" style="141" customWidth="1"/>
    <col min="11012" max="11012" width="32.140625" style="141" customWidth="1"/>
    <col min="11013" max="11013" width="22.7109375" style="141" customWidth="1"/>
    <col min="11014" max="11014" width="23.5703125" style="141" customWidth="1"/>
    <col min="11015" max="11015" width="10.140625" style="141" bestFit="1" customWidth="1"/>
    <col min="11016" max="11016" width="15" style="141" customWidth="1"/>
    <col min="11017" max="11263" width="9.140625" style="141"/>
    <col min="11264" max="11264" width="5.42578125" style="141" customWidth="1"/>
    <col min="11265" max="11265" width="42.140625" style="141" customWidth="1"/>
    <col min="11266" max="11266" width="8.5703125" style="141" customWidth="1"/>
    <col min="11267" max="11267" width="32.5703125" style="141" customWidth="1"/>
    <col min="11268" max="11268" width="32.140625" style="141" customWidth="1"/>
    <col min="11269" max="11269" width="22.7109375" style="141" customWidth="1"/>
    <col min="11270" max="11270" width="23.5703125" style="141" customWidth="1"/>
    <col min="11271" max="11271" width="10.140625" style="141" bestFit="1" customWidth="1"/>
    <col min="11272" max="11272" width="15" style="141" customWidth="1"/>
    <col min="11273" max="11519" width="9.140625" style="141"/>
    <col min="11520" max="11520" width="5.42578125" style="141" customWidth="1"/>
    <col min="11521" max="11521" width="42.140625" style="141" customWidth="1"/>
    <col min="11522" max="11522" width="8.5703125" style="141" customWidth="1"/>
    <col min="11523" max="11523" width="32.5703125" style="141" customWidth="1"/>
    <col min="11524" max="11524" width="32.140625" style="141" customWidth="1"/>
    <col min="11525" max="11525" width="22.7109375" style="141" customWidth="1"/>
    <col min="11526" max="11526" width="23.5703125" style="141" customWidth="1"/>
    <col min="11527" max="11527" width="10.140625" style="141" bestFit="1" customWidth="1"/>
    <col min="11528" max="11528" width="15" style="141" customWidth="1"/>
    <col min="11529" max="11775" width="9.140625" style="141"/>
    <col min="11776" max="11776" width="5.42578125" style="141" customWidth="1"/>
    <col min="11777" max="11777" width="42.140625" style="141" customWidth="1"/>
    <col min="11778" max="11778" width="8.5703125" style="141" customWidth="1"/>
    <col min="11779" max="11779" width="32.5703125" style="141" customWidth="1"/>
    <col min="11780" max="11780" width="32.140625" style="141" customWidth="1"/>
    <col min="11781" max="11781" width="22.7109375" style="141" customWidth="1"/>
    <col min="11782" max="11782" width="23.5703125" style="141" customWidth="1"/>
    <col min="11783" max="11783" width="10.140625" style="141" bestFit="1" customWidth="1"/>
    <col min="11784" max="11784" width="15" style="141" customWidth="1"/>
    <col min="11785" max="12031" width="9.140625" style="141"/>
    <col min="12032" max="12032" width="5.42578125" style="141" customWidth="1"/>
    <col min="12033" max="12033" width="42.140625" style="141" customWidth="1"/>
    <col min="12034" max="12034" width="8.5703125" style="141" customWidth="1"/>
    <col min="12035" max="12035" width="32.5703125" style="141" customWidth="1"/>
    <col min="12036" max="12036" width="32.140625" style="141" customWidth="1"/>
    <col min="12037" max="12037" width="22.7109375" style="141" customWidth="1"/>
    <col min="12038" max="12038" width="23.5703125" style="141" customWidth="1"/>
    <col min="12039" max="12039" width="10.140625" style="141" bestFit="1" customWidth="1"/>
    <col min="12040" max="12040" width="15" style="141" customWidth="1"/>
    <col min="12041" max="12287" width="9.140625" style="141"/>
    <col min="12288" max="12288" width="5.42578125" style="141" customWidth="1"/>
    <col min="12289" max="12289" width="42.140625" style="141" customWidth="1"/>
    <col min="12290" max="12290" width="8.5703125" style="141" customWidth="1"/>
    <col min="12291" max="12291" width="32.5703125" style="141" customWidth="1"/>
    <col min="12292" max="12292" width="32.140625" style="141" customWidth="1"/>
    <col min="12293" max="12293" width="22.7109375" style="141" customWidth="1"/>
    <col min="12294" max="12294" width="23.5703125" style="141" customWidth="1"/>
    <col min="12295" max="12295" width="10.140625" style="141" bestFit="1" customWidth="1"/>
    <col min="12296" max="12296" width="15" style="141" customWidth="1"/>
    <col min="12297" max="12543" width="9.140625" style="141"/>
    <col min="12544" max="12544" width="5.42578125" style="141" customWidth="1"/>
    <col min="12545" max="12545" width="42.140625" style="141" customWidth="1"/>
    <col min="12546" max="12546" width="8.5703125" style="141" customWidth="1"/>
    <col min="12547" max="12547" width="32.5703125" style="141" customWidth="1"/>
    <col min="12548" max="12548" width="32.140625" style="141" customWidth="1"/>
    <col min="12549" max="12549" width="22.7109375" style="141" customWidth="1"/>
    <col min="12550" max="12550" width="23.5703125" style="141" customWidth="1"/>
    <col min="12551" max="12551" width="10.140625" style="141" bestFit="1" customWidth="1"/>
    <col min="12552" max="12552" width="15" style="141" customWidth="1"/>
    <col min="12553" max="12799" width="9.140625" style="141"/>
    <col min="12800" max="12800" width="5.42578125" style="141" customWidth="1"/>
    <col min="12801" max="12801" width="42.140625" style="141" customWidth="1"/>
    <col min="12802" max="12802" width="8.5703125" style="141" customWidth="1"/>
    <col min="12803" max="12803" width="32.5703125" style="141" customWidth="1"/>
    <col min="12804" max="12804" width="32.140625" style="141" customWidth="1"/>
    <col min="12805" max="12805" width="22.7109375" style="141" customWidth="1"/>
    <col min="12806" max="12806" width="23.5703125" style="141" customWidth="1"/>
    <col min="12807" max="12807" width="10.140625" style="141" bestFit="1" customWidth="1"/>
    <col min="12808" max="12808" width="15" style="141" customWidth="1"/>
    <col min="12809" max="13055" width="9.140625" style="141"/>
    <col min="13056" max="13056" width="5.42578125" style="141" customWidth="1"/>
    <col min="13057" max="13057" width="42.140625" style="141" customWidth="1"/>
    <col min="13058" max="13058" width="8.5703125" style="141" customWidth="1"/>
    <col min="13059" max="13059" width="32.5703125" style="141" customWidth="1"/>
    <col min="13060" max="13060" width="32.140625" style="141" customWidth="1"/>
    <col min="13061" max="13061" width="22.7109375" style="141" customWidth="1"/>
    <col min="13062" max="13062" width="23.5703125" style="141" customWidth="1"/>
    <col min="13063" max="13063" width="10.140625" style="141" bestFit="1" customWidth="1"/>
    <col min="13064" max="13064" width="15" style="141" customWidth="1"/>
    <col min="13065" max="13311" width="9.140625" style="141"/>
    <col min="13312" max="13312" width="5.42578125" style="141" customWidth="1"/>
    <col min="13313" max="13313" width="42.140625" style="141" customWidth="1"/>
    <col min="13314" max="13314" width="8.5703125" style="141" customWidth="1"/>
    <col min="13315" max="13315" width="32.5703125" style="141" customWidth="1"/>
    <col min="13316" max="13316" width="32.140625" style="141" customWidth="1"/>
    <col min="13317" max="13317" width="22.7109375" style="141" customWidth="1"/>
    <col min="13318" max="13318" width="23.5703125" style="141" customWidth="1"/>
    <col min="13319" max="13319" width="10.140625" style="141" bestFit="1" customWidth="1"/>
    <col min="13320" max="13320" width="15" style="141" customWidth="1"/>
    <col min="13321" max="13567" width="9.140625" style="141"/>
    <col min="13568" max="13568" width="5.42578125" style="141" customWidth="1"/>
    <col min="13569" max="13569" width="42.140625" style="141" customWidth="1"/>
    <col min="13570" max="13570" width="8.5703125" style="141" customWidth="1"/>
    <col min="13571" max="13571" width="32.5703125" style="141" customWidth="1"/>
    <col min="13572" max="13572" width="32.140625" style="141" customWidth="1"/>
    <col min="13573" max="13573" width="22.7109375" style="141" customWidth="1"/>
    <col min="13574" max="13574" width="23.5703125" style="141" customWidth="1"/>
    <col min="13575" max="13575" width="10.140625" style="141" bestFit="1" customWidth="1"/>
    <col min="13576" max="13576" width="15" style="141" customWidth="1"/>
    <col min="13577" max="13823" width="9.140625" style="141"/>
    <col min="13824" max="13824" width="5.42578125" style="141" customWidth="1"/>
    <col min="13825" max="13825" width="42.140625" style="141" customWidth="1"/>
    <col min="13826" max="13826" width="8.5703125" style="141" customWidth="1"/>
    <col min="13827" max="13827" width="32.5703125" style="141" customWidth="1"/>
    <col min="13828" max="13828" width="32.140625" style="141" customWidth="1"/>
    <col min="13829" max="13829" width="22.7109375" style="141" customWidth="1"/>
    <col min="13830" max="13830" width="23.5703125" style="141" customWidth="1"/>
    <col min="13831" max="13831" width="10.140625" style="141" bestFit="1" customWidth="1"/>
    <col min="13832" max="13832" width="15" style="141" customWidth="1"/>
    <col min="13833" max="14079" width="9.140625" style="141"/>
    <col min="14080" max="14080" width="5.42578125" style="141" customWidth="1"/>
    <col min="14081" max="14081" width="42.140625" style="141" customWidth="1"/>
    <col min="14082" max="14082" width="8.5703125" style="141" customWidth="1"/>
    <col min="14083" max="14083" width="32.5703125" style="141" customWidth="1"/>
    <col min="14084" max="14084" width="32.140625" style="141" customWidth="1"/>
    <col min="14085" max="14085" width="22.7109375" style="141" customWidth="1"/>
    <col min="14086" max="14086" width="23.5703125" style="141" customWidth="1"/>
    <col min="14087" max="14087" width="10.140625" style="141" bestFit="1" customWidth="1"/>
    <col min="14088" max="14088" width="15" style="141" customWidth="1"/>
    <col min="14089" max="14335" width="9.140625" style="141"/>
    <col min="14336" max="14336" width="5.42578125" style="141" customWidth="1"/>
    <col min="14337" max="14337" width="42.140625" style="141" customWidth="1"/>
    <col min="14338" max="14338" width="8.5703125" style="141" customWidth="1"/>
    <col min="14339" max="14339" width="32.5703125" style="141" customWidth="1"/>
    <col min="14340" max="14340" width="32.140625" style="141" customWidth="1"/>
    <col min="14341" max="14341" width="22.7109375" style="141" customWidth="1"/>
    <col min="14342" max="14342" width="23.5703125" style="141" customWidth="1"/>
    <col min="14343" max="14343" width="10.140625" style="141" bestFit="1" customWidth="1"/>
    <col min="14344" max="14344" width="15" style="141" customWidth="1"/>
    <col min="14345" max="14591" width="9.140625" style="141"/>
    <col min="14592" max="14592" width="5.42578125" style="141" customWidth="1"/>
    <col min="14593" max="14593" width="42.140625" style="141" customWidth="1"/>
    <col min="14594" max="14594" width="8.5703125" style="141" customWidth="1"/>
    <col min="14595" max="14595" width="32.5703125" style="141" customWidth="1"/>
    <col min="14596" max="14596" width="32.140625" style="141" customWidth="1"/>
    <col min="14597" max="14597" width="22.7109375" style="141" customWidth="1"/>
    <col min="14598" max="14598" width="23.5703125" style="141" customWidth="1"/>
    <col min="14599" max="14599" width="10.140625" style="141" bestFit="1" customWidth="1"/>
    <col min="14600" max="14600" width="15" style="141" customWidth="1"/>
    <col min="14601" max="14847" width="9.140625" style="141"/>
    <col min="14848" max="14848" width="5.42578125" style="141" customWidth="1"/>
    <col min="14849" max="14849" width="42.140625" style="141" customWidth="1"/>
    <col min="14850" max="14850" width="8.5703125" style="141" customWidth="1"/>
    <col min="14851" max="14851" width="32.5703125" style="141" customWidth="1"/>
    <col min="14852" max="14852" width="32.140625" style="141" customWidth="1"/>
    <col min="14853" max="14853" width="22.7109375" style="141" customWidth="1"/>
    <col min="14854" max="14854" width="23.5703125" style="141" customWidth="1"/>
    <col min="14855" max="14855" width="10.140625" style="141" bestFit="1" customWidth="1"/>
    <col min="14856" max="14856" width="15" style="141" customWidth="1"/>
    <col min="14857" max="15103" width="9.140625" style="141"/>
    <col min="15104" max="15104" width="5.42578125" style="141" customWidth="1"/>
    <col min="15105" max="15105" width="42.140625" style="141" customWidth="1"/>
    <col min="15106" max="15106" width="8.5703125" style="141" customWidth="1"/>
    <col min="15107" max="15107" width="32.5703125" style="141" customWidth="1"/>
    <col min="15108" max="15108" width="32.140625" style="141" customWidth="1"/>
    <col min="15109" max="15109" width="22.7109375" style="141" customWidth="1"/>
    <col min="15110" max="15110" width="23.5703125" style="141" customWidth="1"/>
    <col min="15111" max="15111" width="10.140625" style="141" bestFit="1" customWidth="1"/>
    <col min="15112" max="15112" width="15" style="141" customWidth="1"/>
    <col min="15113" max="15359" width="9.140625" style="141"/>
    <col min="15360" max="15360" width="5.42578125" style="141" customWidth="1"/>
    <col min="15361" max="15361" width="42.140625" style="141" customWidth="1"/>
    <col min="15362" max="15362" width="8.5703125" style="141" customWidth="1"/>
    <col min="15363" max="15363" width="32.5703125" style="141" customWidth="1"/>
    <col min="15364" max="15364" width="32.140625" style="141" customWidth="1"/>
    <col min="15365" max="15365" width="22.7109375" style="141" customWidth="1"/>
    <col min="15366" max="15366" width="23.5703125" style="141" customWidth="1"/>
    <col min="15367" max="15367" width="10.140625" style="141" bestFit="1" customWidth="1"/>
    <col min="15368" max="15368" width="15" style="141" customWidth="1"/>
    <col min="15369" max="15615" width="9.140625" style="141"/>
    <col min="15616" max="15616" width="5.42578125" style="141" customWidth="1"/>
    <col min="15617" max="15617" width="42.140625" style="141" customWidth="1"/>
    <col min="15618" max="15618" width="8.5703125" style="141" customWidth="1"/>
    <col min="15619" max="15619" width="32.5703125" style="141" customWidth="1"/>
    <col min="15620" max="15620" width="32.140625" style="141" customWidth="1"/>
    <col min="15621" max="15621" width="22.7109375" style="141" customWidth="1"/>
    <col min="15622" max="15622" width="23.5703125" style="141" customWidth="1"/>
    <col min="15623" max="15623" width="10.140625" style="141" bestFit="1" customWidth="1"/>
    <col min="15624" max="15624" width="15" style="141" customWidth="1"/>
    <col min="15625" max="15871" width="9.140625" style="141"/>
    <col min="15872" max="15872" width="5.42578125" style="141" customWidth="1"/>
    <col min="15873" max="15873" width="42.140625" style="141" customWidth="1"/>
    <col min="15874" max="15874" width="8.5703125" style="141" customWidth="1"/>
    <col min="15875" max="15875" width="32.5703125" style="141" customWidth="1"/>
    <col min="15876" max="15876" width="32.140625" style="141" customWidth="1"/>
    <col min="15877" max="15877" width="22.7109375" style="141" customWidth="1"/>
    <col min="15878" max="15878" width="23.5703125" style="141" customWidth="1"/>
    <col min="15879" max="15879" width="10.140625" style="141" bestFit="1" customWidth="1"/>
    <col min="15880" max="15880" width="15" style="141" customWidth="1"/>
    <col min="15881" max="16127" width="9.140625" style="141"/>
    <col min="16128" max="16128" width="5.42578125" style="141" customWidth="1"/>
    <col min="16129" max="16129" width="42.140625" style="141" customWidth="1"/>
    <col min="16130" max="16130" width="8.5703125" style="141" customWidth="1"/>
    <col min="16131" max="16131" width="32.5703125" style="141" customWidth="1"/>
    <col min="16132" max="16132" width="32.140625" style="141" customWidth="1"/>
    <col min="16133" max="16133" width="22.7109375" style="141" customWidth="1"/>
    <col min="16134" max="16134" width="23.5703125" style="141" customWidth="1"/>
    <col min="16135" max="16135" width="10.140625" style="141" bestFit="1" customWidth="1"/>
    <col min="16136" max="16136" width="15" style="141" customWidth="1"/>
    <col min="16137" max="16384" width="9.140625" style="141"/>
  </cols>
  <sheetData>
    <row r="1" spans="1:9" ht="32.25" customHeight="1" x14ac:dyDescent="0.25">
      <c r="B1" s="417" t="s">
        <v>1887</v>
      </c>
      <c r="C1" s="418"/>
      <c r="D1" s="418"/>
      <c r="E1" s="418"/>
      <c r="F1" s="418"/>
      <c r="G1" s="418"/>
      <c r="H1" s="418"/>
    </row>
    <row r="2" spans="1:9" s="142" customFormat="1" ht="36.75" customHeight="1" x14ac:dyDescent="0.25">
      <c r="B2" s="155" t="s">
        <v>0</v>
      </c>
      <c r="C2" s="154" t="s">
        <v>13</v>
      </c>
      <c r="D2" s="154" t="s">
        <v>11</v>
      </c>
      <c r="E2" s="154" t="s">
        <v>14</v>
      </c>
      <c r="F2" s="154" t="s">
        <v>3</v>
      </c>
      <c r="G2" s="154" t="s">
        <v>15</v>
      </c>
      <c r="H2" s="154" t="s">
        <v>16</v>
      </c>
    </row>
    <row r="3" spans="1:9" s="142" customFormat="1" ht="27.75" customHeight="1" x14ac:dyDescent="0.25">
      <c r="B3" s="156"/>
      <c r="C3" s="56" t="s">
        <v>1467</v>
      </c>
      <c r="D3" s="24">
        <v>1</v>
      </c>
      <c r="E3" s="22"/>
      <c r="F3" s="24" t="s">
        <v>221</v>
      </c>
      <c r="G3" s="22"/>
      <c r="H3" s="158">
        <v>1900000</v>
      </c>
    </row>
    <row r="4" spans="1:9" s="142" customFormat="1" ht="27.75" customHeight="1" x14ac:dyDescent="0.25">
      <c r="B4" s="156"/>
      <c r="C4" s="56" t="s">
        <v>1466</v>
      </c>
      <c r="D4" s="24">
        <v>1</v>
      </c>
      <c r="E4" s="22"/>
      <c r="F4" s="24" t="s">
        <v>278</v>
      </c>
      <c r="G4" s="22"/>
      <c r="H4" s="158">
        <v>950000</v>
      </c>
    </row>
    <row r="5" spans="1:9" ht="27.75" customHeight="1" x14ac:dyDescent="0.25">
      <c r="B5" s="118"/>
      <c r="C5" s="56" t="s">
        <v>1468</v>
      </c>
      <c r="D5" s="24">
        <v>1</v>
      </c>
      <c r="E5" s="71"/>
      <c r="F5" s="24" t="s">
        <v>102</v>
      </c>
      <c r="G5" s="71"/>
      <c r="H5" s="102">
        <v>28500000</v>
      </c>
    </row>
    <row r="6" spans="1:9" ht="27.75" customHeight="1" x14ac:dyDescent="0.25">
      <c r="B6" s="118"/>
      <c r="C6" s="56" t="s">
        <v>1469</v>
      </c>
      <c r="D6" s="24">
        <v>1</v>
      </c>
      <c r="E6" s="71"/>
      <c r="F6" s="24" t="s">
        <v>278</v>
      </c>
      <c r="G6" s="71"/>
      <c r="H6" s="102">
        <v>27380778</v>
      </c>
    </row>
    <row r="7" spans="1:9" ht="27.75" customHeight="1" x14ac:dyDescent="0.25">
      <c r="B7" s="118"/>
      <c r="C7" s="56" t="s">
        <v>1470</v>
      </c>
      <c r="D7" s="24">
        <v>1</v>
      </c>
      <c r="E7" s="71"/>
      <c r="F7" s="24" t="s">
        <v>102</v>
      </c>
      <c r="G7" s="71"/>
      <c r="H7" s="102">
        <v>72324623</v>
      </c>
    </row>
    <row r="8" spans="1:9" ht="27.75" customHeight="1" x14ac:dyDescent="0.25">
      <c r="B8" s="118"/>
      <c r="C8" s="71"/>
      <c r="D8" s="159"/>
      <c r="E8" s="71"/>
      <c r="F8" s="71"/>
      <c r="G8" s="71"/>
      <c r="H8" s="160">
        <f>SUM(H3:H7)</f>
        <v>131055401</v>
      </c>
    </row>
    <row r="9" spans="1:9" ht="15.75" customHeight="1" x14ac:dyDescent="0.25">
      <c r="A9" s="146"/>
      <c r="B9" s="157"/>
      <c r="C9" s="4"/>
      <c r="D9" s="5"/>
      <c r="E9" s="4"/>
      <c r="F9" s="4"/>
      <c r="G9" s="4"/>
      <c r="H9" s="4"/>
    </row>
    <row r="10" spans="1:9" ht="34.5" customHeight="1" x14ac:dyDescent="0.25">
      <c r="A10" s="146"/>
      <c r="B10" s="157"/>
      <c r="C10" s="4"/>
      <c r="D10" s="5"/>
      <c r="E10" s="4"/>
      <c r="F10" s="4"/>
      <c r="G10" s="4"/>
      <c r="H10" s="4"/>
    </row>
    <row r="11" spans="1:9" ht="15.75" customHeight="1" x14ac:dyDescent="0.25">
      <c r="A11" s="146"/>
      <c r="B11" s="146"/>
      <c r="C11" s="143"/>
      <c r="D11" s="144"/>
      <c r="E11" s="143"/>
      <c r="F11" s="143"/>
      <c r="G11" s="143"/>
      <c r="H11" s="145"/>
      <c r="I11" s="146"/>
    </row>
    <row r="12" spans="1:9" ht="15.75" customHeight="1" x14ac:dyDescent="0.25">
      <c r="B12" s="146"/>
      <c r="C12" s="143"/>
      <c r="D12" s="144"/>
      <c r="E12" s="143"/>
      <c r="F12" s="143"/>
      <c r="G12" s="143"/>
      <c r="H12" s="143"/>
      <c r="I12" s="146"/>
    </row>
    <row r="13" spans="1:9" ht="15.75" customHeight="1" x14ac:dyDescent="0.25">
      <c r="B13" s="146"/>
      <c r="C13" s="143"/>
      <c r="D13" s="144"/>
      <c r="E13" s="143"/>
      <c r="F13" s="143"/>
      <c r="G13" s="143"/>
      <c r="H13" s="143"/>
      <c r="I13" s="146"/>
    </row>
    <row r="14" spans="1:9" ht="15.75" customHeight="1" x14ac:dyDescent="0.25">
      <c r="B14" s="146"/>
      <c r="C14" s="143"/>
      <c r="D14" s="144"/>
      <c r="E14" s="143"/>
      <c r="F14" s="143"/>
      <c r="G14" s="143"/>
      <c r="H14" s="147"/>
      <c r="I14" s="146"/>
    </row>
    <row r="15" spans="1:9" ht="15.75" customHeight="1" x14ac:dyDescent="0.25">
      <c r="B15" s="146"/>
      <c r="C15" s="143"/>
      <c r="D15" s="144"/>
      <c r="E15" s="143"/>
      <c r="F15" s="143"/>
      <c r="G15" s="143"/>
      <c r="H15" s="143"/>
      <c r="I15" s="146"/>
    </row>
    <row r="16" spans="1:9" ht="15.75" customHeight="1" x14ac:dyDescent="0.25">
      <c r="B16" s="146"/>
      <c r="C16" s="143"/>
      <c r="D16" s="144"/>
      <c r="E16" s="143"/>
      <c r="F16" s="143"/>
      <c r="G16" s="143"/>
      <c r="H16" s="143"/>
      <c r="I16" s="146"/>
    </row>
    <row r="17" spans="2:9" ht="15.75" customHeight="1" x14ac:dyDescent="0.25">
      <c r="B17" s="146"/>
      <c r="C17" s="143"/>
      <c r="D17" s="144"/>
      <c r="E17" s="143"/>
      <c r="F17" s="143"/>
      <c r="G17" s="143"/>
      <c r="H17" s="143"/>
      <c r="I17" s="146"/>
    </row>
    <row r="18" spans="2:9" ht="15.75" customHeight="1" x14ac:dyDescent="0.25">
      <c r="B18" s="146"/>
      <c r="C18" s="143"/>
      <c r="D18" s="144"/>
      <c r="E18" s="143"/>
      <c r="F18" s="143"/>
      <c r="G18" s="143"/>
      <c r="H18" s="143"/>
      <c r="I18" s="146"/>
    </row>
    <row r="19" spans="2:9" s="151" customFormat="1" ht="15.75" customHeight="1" x14ac:dyDescent="0.25">
      <c r="B19" s="148"/>
      <c r="C19" s="149"/>
      <c r="D19" s="150"/>
      <c r="E19" s="149"/>
      <c r="F19" s="149"/>
      <c r="G19" s="149"/>
      <c r="H19" s="149"/>
      <c r="I19" s="148"/>
    </row>
    <row r="20" spans="2:9" ht="15.75" customHeight="1" x14ac:dyDescent="0.25">
      <c r="B20" s="146"/>
      <c r="C20" s="143"/>
      <c r="D20" s="144"/>
      <c r="E20" s="143"/>
      <c r="F20" s="143"/>
      <c r="G20" s="143"/>
      <c r="H20" s="143"/>
      <c r="I20" s="146"/>
    </row>
    <row r="21" spans="2:9" ht="15.75" customHeight="1" x14ac:dyDescent="0.25">
      <c r="B21" s="146"/>
      <c r="C21" s="143"/>
      <c r="D21" s="144"/>
      <c r="E21" s="143"/>
      <c r="F21" s="143"/>
      <c r="G21" s="143"/>
      <c r="H21" s="143"/>
      <c r="I21" s="146"/>
    </row>
    <row r="22" spans="2:9" ht="15.75" customHeight="1" x14ac:dyDescent="0.25">
      <c r="B22" s="146"/>
      <c r="C22" s="143"/>
      <c r="D22" s="144"/>
      <c r="E22" s="143"/>
      <c r="F22" s="143"/>
      <c r="G22" s="143"/>
      <c r="H22" s="143"/>
      <c r="I22" s="146"/>
    </row>
    <row r="23" spans="2:9" ht="15.75" customHeight="1" x14ac:dyDescent="0.25">
      <c r="B23" s="146"/>
      <c r="C23" s="143"/>
      <c r="D23" s="144"/>
      <c r="E23" s="143"/>
      <c r="F23" s="143"/>
      <c r="G23" s="143"/>
      <c r="H23" s="143"/>
      <c r="I23" s="146"/>
    </row>
    <row r="24" spans="2:9" ht="15.75" customHeight="1" x14ac:dyDescent="0.25">
      <c r="B24" s="146"/>
      <c r="C24" s="143"/>
      <c r="D24" s="144"/>
      <c r="E24" s="143"/>
      <c r="F24" s="143"/>
      <c r="G24" s="143"/>
      <c r="H24" s="143"/>
      <c r="I24" s="146"/>
    </row>
    <row r="25" spans="2:9" ht="15.75" customHeight="1" x14ac:dyDescent="0.25">
      <c r="B25" s="146"/>
      <c r="C25" s="143"/>
      <c r="D25" s="144"/>
      <c r="E25" s="143"/>
      <c r="F25" s="143"/>
      <c r="G25" s="143"/>
      <c r="H25" s="143"/>
      <c r="I25" s="146"/>
    </row>
    <row r="26" spans="2:9" ht="15.75" customHeight="1" x14ac:dyDescent="0.25">
      <c r="B26" s="146"/>
      <c r="C26" s="143"/>
      <c r="D26" s="144"/>
      <c r="E26" s="143"/>
      <c r="F26" s="143"/>
      <c r="G26" s="143"/>
      <c r="H26" s="143"/>
      <c r="I26" s="146"/>
    </row>
    <row r="27" spans="2:9" ht="15.75" customHeight="1" x14ac:dyDescent="0.25">
      <c r="B27" s="146"/>
      <c r="C27" s="143"/>
      <c r="D27" s="144"/>
      <c r="E27" s="143"/>
      <c r="F27" s="143"/>
      <c r="G27" s="143"/>
      <c r="H27" s="143"/>
      <c r="I27" s="146"/>
    </row>
    <row r="28" spans="2:9" ht="15.75" customHeight="1" x14ac:dyDescent="0.25">
      <c r="B28" s="146"/>
      <c r="C28" s="143"/>
      <c r="D28" s="144"/>
      <c r="E28" s="143"/>
      <c r="F28" s="143"/>
      <c r="G28" s="143"/>
      <c r="H28" s="143"/>
      <c r="I28" s="146"/>
    </row>
    <row r="29" spans="2:9" ht="15.75" customHeight="1" x14ac:dyDescent="0.25">
      <c r="B29" s="146"/>
      <c r="C29" s="143"/>
      <c r="D29" s="144"/>
      <c r="E29" s="143"/>
      <c r="F29" s="143"/>
      <c r="G29" s="143"/>
      <c r="H29" s="143"/>
      <c r="I29" s="146"/>
    </row>
    <row r="30" spans="2:9" ht="15.75" customHeight="1" x14ac:dyDescent="0.25">
      <c r="B30" s="146"/>
      <c r="C30" s="143"/>
      <c r="D30" s="144"/>
      <c r="E30" s="143"/>
      <c r="F30" s="143"/>
      <c r="G30" s="143"/>
      <c r="H30" s="143"/>
      <c r="I30" s="146"/>
    </row>
    <row r="31" spans="2:9" ht="15.75" customHeight="1" x14ac:dyDescent="0.25">
      <c r="B31" s="146"/>
      <c r="C31" s="143"/>
      <c r="D31" s="144"/>
      <c r="E31" s="143"/>
      <c r="F31" s="143"/>
      <c r="G31" s="143"/>
      <c r="H31" s="143"/>
      <c r="I31" s="146"/>
    </row>
    <row r="32" spans="2:9" ht="15.75" customHeight="1" x14ac:dyDescent="0.25">
      <c r="B32" s="146"/>
      <c r="C32" s="143"/>
      <c r="D32" s="144"/>
      <c r="E32" s="143"/>
      <c r="F32" s="143"/>
      <c r="G32" s="143"/>
      <c r="H32" s="143"/>
    </row>
    <row r="33" spans="2:8" ht="15.75" customHeight="1" x14ac:dyDescent="0.25">
      <c r="B33" s="146"/>
      <c r="C33" s="143"/>
      <c r="D33" s="144"/>
      <c r="E33" s="143"/>
      <c r="F33" s="143"/>
      <c r="G33" s="143"/>
      <c r="H33" s="143"/>
    </row>
    <row r="34" spans="2:8" ht="15.75" customHeight="1" x14ac:dyDescent="0.25">
      <c r="B34" s="146"/>
      <c r="C34" s="143"/>
      <c r="D34" s="144"/>
      <c r="E34" s="143"/>
      <c r="F34" s="143"/>
      <c r="G34" s="143"/>
      <c r="H34" s="143"/>
    </row>
    <row r="35" spans="2:8" ht="15.75" customHeight="1" x14ac:dyDescent="0.25">
      <c r="B35" s="146"/>
      <c r="C35" s="143"/>
      <c r="D35" s="144"/>
      <c r="E35" s="143"/>
      <c r="F35" s="143"/>
      <c r="G35" s="143"/>
      <c r="H35" s="143"/>
    </row>
    <row r="36" spans="2:8" ht="15.75" customHeight="1" x14ac:dyDescent="0.25">
      <c r="B36" s="146"/>
      <c r="C36" s="143"/>
      <c r="D36" s="144"/>
      <c r="E36" s="143"/>
      <c r="F36" s="143"/>
      <c r="G36" s="143"/>
      <c r="H36" s="143"/>
    </row>
    <row r="37" spans="2:8" ht="15.75" customHeight="1" x14ac:dyDescent="0.25">
      <c r="B37" s="146"/>
      <c r="C37" s="143"/>
      <c r="D37" s="144"/>
      <c r="E37" s="143"/>
      <c r="F37" s="143"/>
      <c r="G37" s="143"/>
      <c r="H37" s="143"/>
    </row>
    <row r="38" spans="2:8" ht="15.75" customHeight="1" x14ac:dyDescent="0.25">
      <c r="B38" s="146"/>
      <c r="C38" s="143"/>
      <c r="D38" s="144"/>
      <c r="E38" s="143"/>
      <c r="F38" s="143"/>
      <c r="G38" s="143"/>
      <c r="H38" s="143"/>
    </row>
    <row r="39" spans="2:8" ht="15.75" customHeight="1" x14ac:dyDescent="0.25">
      <c r="B39" s="146"/>
      <c r="C39" s="143"/>
      <c r="D39" s="144"/>
      <c r="E39" s="143"/>
      <c r="F39" s="143"/>
      <c r="G39" s="143"/>
      <c r="H39" s="143"/>
    </row>
    <row r="40" spans="2:8" ht="15.75" customHeight="1" x14ac:dyDescent="0.25">
      <c r="B40" s="146"/>
      <c r="C40" s="143"/>
      <c r="D40" s="144"/>
      <c r="E40" s="143"/>
      <c r="F40" s="143"/>
      <c r="G40" s="143"/>
      <c r="H40" s="143"/>
    </row>
    <row r="41" spans="2:8" ht="15.75" customHeight="1" x14ac:dyDescent="0.25">
      <c r="B41" s="146"/>
      <c r="C41" s="143"/>
      <c r="D41" s="144"/>
      <c r="E41" s="143"/>
      <c r="F41" s="143"/>
      <c r="G41" s="143"/>
      <c r="H41" s="143"/>
    </row>
    <row r="42" spans="2:8" ht="15.75" customHeight="1" x14ac:dyDescent="0.25">
      <c r="B42" s="146"/>
      <c r="C42" s="143"/>
      <c r="D42" s="144"/>
      <c r="E42" s="143"/>
      <c r="F42" s="143"/>
      <c r="G42" s="143"/>
      <c r="H42" s="143"/>
    </row>
    <row r="43" spans="2:8" ht="15.75" customHeight="1" x14ac:dyDescent="0.25">
      <c r="B43" s="146"/>
      <c r="C43" s="143"/>
      <c r="D43" s="144"/>
      <c r="E43" s="143"/>
      <c r="F43" s="143"/>
      <c r="G43" s="143"/>
      <c r="H43" s="143"/>
    </row>
    <row r="44" spans="2:8" ht="15.75" customHeight="1" x14ac:dyDescent="0.25">
      <c r="B44" s="146"/>
      <c r="C44" s="143"/>
      <c r="D44" s="144"/>
      <c r="E44" s="143"/>
      <c r="F44" s="143"/>
      <c r="G44" s="143"/>
      <c r="H44" s="143"/>
    </row>
    <row r="45" spans="2:8" ht="15.75" customHeight="1" x14ac:dyDescent="0.25">
      <c r="B45" s="146"/>
      <c r="C45" s="143"/>
      <c r="D45" s="144"/>
      <c r="E45" s="143"/>
      <c r="F45" s="143"/>
      <c r="G45" s="143"/>
      <c r="H45" s="143"/>
    </row>
    <row r="46" spans="2:8" ht="15.75" customHeight="1" x14ac:dyDescent="0.25">
      <c r="B46" s="146"/>
      <c r="C46" s="143"/>
      <c r="D46" s="144"/>
      <c r="E46" s="143"/>
      <c r="F46" s="143"/>
      <c r="G46" s="143"/>
      <c r="H46" s="143"/>
    </row>
    <row r="47" spans="2:8" ht="15.75" customHeight="1" x14ac:dyDescent="0.25">
      <c r="B47" s="146"/>
      <c r="C47" s="143"/>
      <c r="D47" s="144"/>
      <c r="E47" s="143"/>
      <c r="F47" s="143"/>
      <c r="G47" s="143"/>
      <c r="H47" s="143"/>
    </row>
    <row r="48" spans="2:8" ht="15.75" customHeight="1" x14ac:dyDescent="0.25">
      <c r="B48" s="146"/>
      <c r="C48" s="143"/>
      <c r="D48" s="144"/>
      <c r="E48" s="143"/>
      <c r="F48" s="143"/>
      <c r="G48" s="143"/>
      <c r="H48" s="143"/>
    </row>
    <row r="49" spans="2:8" ht="15.75" customHeight="1" x14ac:dyDescent="0.25">
      <c r="B49" s="146"/>
      <c r="C49" s="143"/>
      <c r="D49" s="144"/>
      <c r="E49" s="143"/>
      <c r="F49" s="143"/>
      <c r="G49" s="143"/>
      <c r="H49" s="143"/>
    </row>
    <row r="50" spans="2:8" ht="15.75" customHeight="1" x14ac:dyDescent="0.25">
      <c r="B50" s="146"/>
      <c r="C50" s="143"/>
      <c r="D50" s="144"/>
      <c r="E50" s="143"/>
      <c r="F50" s="143"/>
      <c r="G50" s="143"/>
      <c r="H50" s="143"/>
    </row>
    <row r="51" spans="2:8" ht="15.75" customHeight="1" x14ac:dyDescent="0.25">
      <c r="B51" s="146"/>
      <c r="C51" s="143"/>
      <c r="D51" s="144"/>
      <c r="E51" s="143"/>
      <c r="F51" s="143"/>
      <c r="G51" s="143"/>
      <c r="H51" s="143"/>
    </row>
    <row r="52" spans="2:8" ht="15.75" customHeight="1" x14ac:dyDescent="0.25">
      <c r="B52" s="146"/>
      <c r="C52" s="143"/>
      <c r="D52" s="144"/>
      <c r="E52" s="143"/>
      <c r="F52" s="143"/>
      <c r="G52" s="143"/>
      <c r="H52" s="143"/>
    </row>
    <row r="53" spans="2:8" ht="15.75" customHeight="1" x14ac:dyDescent="0.25">
      <c r="B53" s="146"/>
      <c r="C53" s="143"/>
      <c r="D53" s="144"/>
      <c r="E53" s="143"/>
      <c r="F53" s="143"/>
      <c r="G53" s="143"/>
      <c r="H53" s="143"/>
    </row>
    <row r="54" spans="2:8" ht="15.75" customHeight="1" x14ac:dyDescent="0.25">
      <c r="B54" s="146"/>
      <c r="C54" s="143"/>
      <c r="D54" s="144"/>
      <c r="E54" s="143"/>
      <c r="F54" s="143"/>
      <c r="G54" s="143"/>
      <c r="H54" s="143"/>
    </row>
    <row r="55" spans="2:8" ht="15.75" customHeight="1" x14ac:dyDescent="0.25">
      <c r="B55" s="146"/>
      <c r="C55" s="143"/>
      <c r="D55" s="144"/>
      <c r="E55" s="143"/>
      <c r="F55" s="143"/>
      <c r="G55" s="143"/>
      <c r="H55" s="143"/>
    </row>
    <row r="56" spans="2:8" ht="15.75" customHeight="1" x14ac:dyDescent="0.25">
      <c r="B56" s="146"/>
      <c r="C56" s="143"/>
      <c r="D56" s="144"/>
      <c r="E56" s="143"/>
      <c r="F56" s="143"/>
      <c r="G56" s="143"/>
      <c r="H56" s="143"/>
    </row>
    <row r="57" spans="2:8" ht="15.75" customHeight="1" x14ac:dyDescent="0.25">
      <c r="B57" s="146"/>
      <c r="C57" s="143"/>
      <c r="D57" s="144"/>
      <c r="E57" s="143"/>
      <c r="F57" s="143"/>
      <c r="G57" s="143"/>
      <c r="H57" s="143"/>
    </row>
    <row r="58" spans="2:8" ht="15.75" customHeight="1" x14ac:dyDescent="0.25">
      <c r="B58" s="146"/>
      <c r="C58" s="143"/>
      <c r="D58" s="144"/>
      <c r="E58" s="143"/>
      <c r="F58" s="143"/>
      <c r="G58" s="143"/>
      <c r="H58" s="143"/>
    </row>
    <row r="59" spans="2:8" ht="15.75" customHeight="1" x14ac:dyDescent="0.25">
      <c r="B59" s="146"/>
      <c r="C59" s="143"/>
      <c r="D59" s="144"/>
      <c r="E59" s="143"/>
      <c r="F59" s="143"/>
      <c r="G59" s="143"/>
      <c r="H59" s="143"/>
    </row>
    <row r="60" spans="2:8" ht="15.75" customHeight="1" x14ac:dyDescent="0.25">
      <c r="B60" s="146"/>
      <c r="C60" s="143"/>
      <c r="D60" s="144"/>
      <c r="E60" s="143"/>
      <c r="F60" s="143"/>
      <c r="G60" s="143"/>
      <c r="H60" s="143"/>
    </row>
    <row r="61" spans="2:8" ht="15.75" customHeight="1" x14ac:dyDescent="0.25">
      <c r="B61" s="146"/>
      <c r="C61" s="143"/>
      <c r="D61" s="144"/>
      <c r="E61" s="143"/>
      <c r="F61" s="143"/>
      <c r="G61" s="143"/>
      <c r="H61" s="143"/>
    </row>
    <row r="62" spans="2:8" ht="15.75" customHeight="1" x14ac:dyDescent="0.25">
      <c r="B62" s="146"/>
      <c r="C62" s="143"/>
      <c r="D62" s="144"/>
      <c r="E62" s="143"/>
      <c r="F62" s="143"/>
      <c r="G62" s="143"/>
      <c r="H62" s="143"/>
    </row>
    <row r="63" spans="2:8" ht="15.75" customHeight="1" x14ac:dyDescent="0.25">
      <c r="B63" s="146"/>
      <c r="C63" s="143"/>
      <c r="D63" s="144"/>
      <c r="E63" s="143"/>
      <c r="F63" s="143"/>
      <c r="G63" s="143"/>
      <c r="H63" s="143"/>
    </row>
    <row r="64" spans="2:8" ht="15.75" customHeight="1" x14ac:dyDescent="0.25">
      <c r="B64" s="146"/>
      <c r="C64" s="143"/>
      <c r="D64" s="144"/>
      <c r="E64" s="143"/>
      <c r="F64" s="143"/>
      <c r="G64" s="143"/>
      <c r="H64" s="143"/>
    </row>
    <row r="65" spans="2:8" ht="15.75" customHeight="1" x14ac:dyDescent="0.25">
      <c r="B65" s="146"/>
      <c r="C65" s="143"/>
      <c r="D65" s="144"/>
      <c r="E65" s="143"/>
      <c r="F65" s="143"/>
      <c r="G65" s="143"/>
      <c r="H65" s="143"/>
    </row>
    <row r="66" spans="2:8" ht="15.75" customHeight="1" x14ac:dyDescent="0.25">
      <c r="B66" s="146"/>
      <c r="C66" s="143"/>
      <c r="D66" s="144"/>
      <c r="E66" s="143"/>
      <c r="F66" s="143"/>
      <c r="G66" s="143"/>
      <c r="H66" s="143"/>
    </row>
    <row r="67" spans="2:8" ht="15.75" customHeight="1" x14ac:dyDescent="0.25">
      <c r="B67" s="146"/>
      <c r="C67" s="143"/>
      <c r="D67" s="144"/>
      <c r="E67" s="143"/>
      <c r="F67" s="143"/>
      <c r="G67" s="143"/>
      <c r="H67" s="143"/>
    </row>
    <row r="68" spans="2:8" ht="15.75" customHeight="1" x14ac:dyDescent="0.25">
      <c r="B68" s="146"/>
      <c r="C68" s="143"/>
      <c r="D68" s="144"/>
      <c r="E68" s="143"/>
      <c r="F68" s="143"/>
      <c r="G68" s="143"/>
      <c r="H68" s="143"/>
    </row>
    <row r="69" spans="2:8" ht="15.75" customHeight="1" x14ac:dyDescent="0.25">
      <c r="B69" s="146"/>
      <c r="C69" s="143"/>
      <c r="D69" s="144"/>
      <c r="E69" s="143"/>
      <c r="F69" s="143"/>
      <c r="G69" s="143"/>
      <c r="H69" s="143"/>
    </row>
    <row r="70" spans="2:8" ht="15.75" customHeight="1" x14ac:dyDescent="0.25">
      <c r="B70" s="146"/>
      <c r="C70" s="143"/>
      <c r="D70" s="144"/>
      <c r="E70" s="143"/>
      <c r="F70" s="143"/>
      <c r="G70" s="143"/>
      <c r="H70" s="143"/>
    </row>
    <row r="71" spans="2:8" ht="15.75" customHeight="1" x14ac:dyDescent="0.25">
      <c r="B71" s="146"/>
      <c r="C71" s="143"/>
      <c r="D71" s="144"/>
      <c r="E71" s="143"/>
      <c r="F71" s="143"/>
      <c r="G71" s="143"/>
      <c r="H71" s="143"/>
    </row>
    <row r="72" spans="2:8" ht="15.75" customHeight="1" x14ac:dyDescent="0.25">
      <c r="B72" s="146"/>
      <c r="C72" s="143"/>
      <c r="D72" s="144"/>
      <c r="E72" s="143"/>
      <c r="F72" s="143"/>
      <c r="G72" s="143"/>
      <c r="H72" s="143"/>
    </row>
    <row r="73" spans="2:8" ht="15.75" customHeight="1" x14ac:dyDescent="0.25">
      <c r="B73" s="146"/>
      <c r="C73" s="143"/>
      <c r="D73" s="144"/>
      <c r="E73" s="143"/>
      <c r="F73" s="143"/>
      <c r="G73" s="143"/>
      <c r="H73" s="143"/>
    </row>
    <row r="74" spans="2:8" ht="15.75" customHeight="1" x14ac:dyDescent="0.25">
      <c r="B74" s="146"/>
      <c r="C74" s="143"/>
      <c r="D74" s="144"/>
      <c r="E74" s="143"/>
      <c r="F74" s="143"/>
      <c r="G74" s="143"/>
      <c r="H74" s="143"/>
    </row>
    <row r="75" spans="2:8" ht="15.75" customHeight="1" x14ac:dyDescent="0.25">
      <c r="B75" s="146"/>
      <c r="C75" s="143"/>
      <c r="D75" s="144"/>
      <c r="E75" s="143"/>
      <c r="F75" s="143"/>
      <c r="G75" s="143"/>
      <c r="H75" s="143"/>
    </row>
    <row r="76" spans="2:8" ht="15.75" customHeight="1" x14ac:dyDescent="0.25">
      <c r="B76" s="146"/>
      <c r="C76" s="143"/>
      <c r="D76" s="144"/>
      <c r="E76" s="143"/>
      <c r="F76" s="143"/>
      <c r="G76" s="143"/>
      <c r="H76" s="143"/>
    </row>
    <row r="77" spans="2:8" ht="15.75" customHeight="1" x14ac:dyDescent="0.25">
      <c r="B77" s="146"/>
      <c r="C77" s="143"/>
      <c r="D77" s="144"/>
      <c r="E77" s="143"/>
      <c r="F77" s="143"/>
      <c r="G77" s="143"/>
      <c r="H77" s="143"/>
    </row>
    <row r="78" spans="2:8" ht="15.75" customHeight="1" x14ac:dyDescent="0.25">
      <c r="B78" s="146"/>
      <c r="C78" s="143"/>
      <c r="D78" s="144"/>
      <c r="E78" s="143"/>
      <c r="F78" s="143"/>
      <c r="G78" s="143"/>
      <c r="H78" s="143"/>
    </row>
    <row r="79" spans="2:8" ht="15.75" customHeight="1" x14ac:dyDescent="0.25">
      <c r="B79" s="146"/>
      <c r="C79" s="143"/>
      <c r="D79" s="144"/>
      <c r="E79" s="143"/>
      <c r="F79" s="143"/>
      <c r="G79" s="143"/>
      <c r="H79" s="143"/>
    </row>
    <row r="80" spans="2:8" ht="15.75" customHeight="1" x14ac:dyDescent="0.25">
      <c r="C80" s="143"/>
      <c r="D80" s="144"/>
      <c r="E80" s="143"/>
      <c r="F80" s="143"/>
      <c r="G80" s="143"/>
      <c r="H80" s="143"/>
    </row>
    <row r="81" spans="3:8" ht="15.75" customHeight="1" x14ac:dyDescent="0.25">
      <c r="C81" s="143"/>
      <c r="D81" s="144"/>
      <c r="E81" s="143"/>
      <c r="F81" s="143"/>
      <c r="G81" s="143"/>
      <c r="H81" s="143"/>
    </row>
    <row r="82" spans="3:8" ht="15.75" customHeight="1" x14ac:dyDescent="0.25">
      <c r="C82" s="143"/>
      <c r="D82" s="144"/>
      <c r="E82" s="143"/>
      <c r="F82" s="143"/>
      <c r="G82" s="143"/>
      <c r="H82" s="143"/>
    </row>
    <row r="83" spans="3:8" ht="15.75" customHeight="1" x14ac:dyDescent="0.25">
      <c r="C83" s="143"/>
      <c r="D83" s="144"/>
      <c r="E83" s="143"/>
      <c r="F83" s="143"/>
      <c r="G83" s="143"/>
      <c r="H83" s="143"/>
    </row>
    <row r="84" spans="3:8" ht="15.75" customHeight="1" x14ac:dyDescent="0.25">
      <c r="C84" s="143"/>
      <c r="D84" s="144"/>
      <c r="E84" s="143"/>
      <c r="F84" s="143"/>
      <c r="G84" s="143"/>
      <c r="H84" s="143"/>
    </row>
    <row r="85" spans="3:8" ht="15.75" customHeight="1" x14ac:dyDescent="0.25">
      <c r="C85" s="143"/>
      <c r="D85" s="144"/>
      <c r="E85" s="143"/>
      <c r="F85" s="143"/>
      <c r="G85" s="143"/>
      <c r="H85" s="143"/>
    </row>
    <row r="86" spans="3:8" ht="15.75" customHeight="1" x14ac:dyDescent="0.25">
      <c r="C86" s="143"/>
      <c r="D86" s="144"/>
      <c r="E86" s="143"/>
      <c r="F86" s="143"/>
      <c r="G86" s="143"/>
      <c r="H86" s="143"/>
    </row>
    <row r="87" spans="3:8" ht="15.75" customHeight="1" x14ac:dyDescent="0.25">
      <c r="C87" s="143"/>
      <c r="D87" s="144"/>
      <c r="E87" s="143"/>
      <c r="F87" s="143"/>
      <c r="G87" s="143"/>
      <c r="H87" s="143"/>
    </row>
    <row r="88" spans="3:8" ht="15.75" customHeight="1" x14ac:dyDescent="0.25">
      <c r="C88" s="143"/>
      <c r="D88" s="144"/>
      <c r="E88" s="143"/>
      <c r="F88" s="143"/>
      <c r="G88" s="143"/>
      <c r="H88" s="143"/>
    </row>
    <row r="89" spans="3:8" ht="15.75" customHeight="1" x14ac:dyDescent="0.25">
      <c r="C89" s="143"/>
      <c r="D89" s="144"/>
      <c r="E89" s="143"/>
      <c r="F89" s="143"/>
      <c r="G89" s="143"/>
      <c r="H89" s="143"/>
    </row>
  </sheetData>
  <mergeCells count="1">
    <mergeCell ref="B1:H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0"/>
  <sheetViews>
    <sheetView zoomScale="70" zoomScaleNormal="70" workbookViewId="0">
      <pane ySplit="3" topLeftCell="A73" activePane="bottomLeft" state="frozen"/>
      <selection activeCell="B16" sqref="B16"/>
      <selection pane="bottomLeft" activeCell="K64" sqref="K64"/>
    </sheetView>
  </sheetViews>
  <sheetFormatPr defaultColWidth="9.140625" defaultRowHeight="18.75" x14ac:dyDescent="0.25"/>
  <cols>
    <col min="1" max="1" width="9.42578125" style="55" bestFit="1" customWidth="1"/>
    <col min="2" max="2" width="13.85546875" style="140" customWidth="1"/>
    <col min="3" max="3" width="30.5703125" style="55" customWidth="1"/>
    <col min="4" max="4" width="7.85546875" style="140" bestFit="1" customWidth="1"/>
    <col min="5" max="5" width="28.7109375" style="55" customWidth="1"/>
    <col min="6" max="6" width="27.140625" style="55" customWidth="1"/>
    <col min="7" max="7" width="22.7109375" style="55" customWidth="1"/>
    <col min="8" max="8" width="21.5703125" style="174" bestFit="1" customWidth="1"/>
    <col min="9" max="9" width="6.7109375" style="55" bestFit="1" customWidth="1"/>
    <col min="10" max="10" width="16.42578125" style="55" customWidth="1"/>
    <col min="11" max="11" width="23.5703125" style="55" bestFit="1" customWidth="1"/>
    <col min="12" max="12" width="19.5703125" style="55" customWidth="1"/>
    <col min="13" max="13" width="18" style="55" customWidth="1"/>
    <col min="14" max="14" width="10.5703125" style="55" customWidth="1"/>
    <col min="15" max="15" width="15.5703125" style="55" customWidth="1"/>
    <col min="16" max="16" width="15.28515625" style="55" customWidth="1"/>
    <col min="17" max="17" width="22.7109375" style="55" customWidth="1"/>
    <col min="18" max="18" width="25" style="55" customWidth="1"/>
    <col min="19" max="16384" width="9.140625" style="55"/>
  </cols>
  <sheetData>
    <row r="1" spans="1:17" ht="30" customHeight="1" x14ac:dyDescent="0.25">
      <c r="A1" s="447" t="s">
        <v>1460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</row>
    <row r="2" spans="1:17" s="170" customFormat="1" ht="33" customHeight="1" x14ac:dyDescent="0.25">
      <c r="A2" s="451" t="s">
        <v>0</v>
      </c>
      <c r="B2" s="1"/>
      <c r="C2" s="451" t="s">
        <v>1</v>
      </c>
      <c r="D2" s="451" t="s">
        <v>2</v>
      </c>
      <c r="E2" s="451" t="s">
        <v>10</v>
      </c>
      <c r="F2" s="451" t="s">
        <v>3</v>
      </c>
      <c r="G2" s="451" t="s">
        <v>4</v>
      </c>
      <c r="H2" s="452" t="s">
        <v>5</v>
      </c>
      <c r="I2" s="448" t="s">
        <v>9</v>
      </c>
      <c r="J2" s="449"/>
      <c r="K2" s="450"/>
      <c r="L2" s="456" t="s">
        <v>1915</v>
      </c>
      <c r="M2" s="453" t="s">
        <v>1119</v>
      </c>
      <c r="N2" s="455" t="s">
        <v>6</v>
      </c>
      <c r="O2" s="455" t="s">
        <v>7</v>
      </c>
      <c r="P2" s="455" t="s">
        <v>8</v>
      </c>
      <c r="Q2" s="455" t="s">
        <v>836</v>
      </c>
    </row>
    <row r="3" spans="1:17" s="170" customFormat="1" ht="33.75" customHeight="1" x14ac:dyDescent="0.25">
      <c r="A3" s="451"/>
      <c r="B3" s="1"/>
      <c r="C3" s="451"/>
      <c r="D3" s="451"/>
      <c r="E3" s="451"/>
      <c r="F3" s="451"/>
      <c r="G3" s="451"/>
      <c r="H3" s="452"/>
      <c r="I3" s="171" t="s">
        <v>11</v>
      </c>
      <c r="J3" s="171" t="s">
        <v>676</v>
      </c>
      <c r="K3" s="171" t="s">
        <v>12</v>
      </c>
      <c r="L3" s="456"/>
      <c r="M3" s="454"/>
      <c r="N3" s="455"/>
      <c r="O3" s="455"/>
      <c r="P3" s="455"/>
      <c r="Q3" s="455"/>
    </row>
    <row r="4" spans="1:17" ht="21" customHeight="1" x14ac:dyDescent="0.25">
      <c r="A4" s="66">
        <v>1</v>
      </c>
      <c r="B4" s="428" t="s">
        <v>606</v>
      </c>
      <c r="C4" s="425" t="s">
        <v>521</v>
      </c>
      <c r="D4" s="422">
        <v>5</v>
      </c>
      <c r="E4" s="425" t="s">
        <v>520</v>
      </c>
      <c r="F4" s="425" t="s">
        <v>522</v>
      </c>
      <c r="G4" s="69">
        <v>37501</v>
      </c>
      <c r="H4" s="67">
        <v>64000</v>
      </c>
      <c r="I4" s="54">
        <v>1</v>
      </c>
      <c r="J4" s="54" t="s">
        <v>837</v>
      </c>
      <c r="K4" s="54" t="s">
        <v>523</v>
      </c>
      <c r="L4" s="54" t="s">
        <v>1544</v>
      </c>
      <c r="M4" s="54" t="s">
        <v>855</v>
      </c>
      <c r="N4" s="54">
        <v>1</v>
      </c>
      <c r="O4" s="54">
        <v>1</v>
      </c>
      <c r="P4" s="66">
        <v>0</v>
      </c>
      <c r="Q4" s="66" t="s">
        <v>1371</v>
      </c>
    </row>
    <row r="5" spans="1:17" x14ac:dyDescent="0.25">
      <c r="A5" s="66">
        <v>2</v>
      </c>
      <c r="B5" s="429"/>
      <c r="C5" s="426"/>
      <c r="D5" s="423"/>
      <c r="E5" s="426"/>
      <c r="F5" s="426"/>
      <c r="G5" s="457" t="s">
        <v>229</v>
      </c>
      <c r="H5" s="67">
        <v>64000</v>
      </c>
      <c r="I5" s="54">
        <v>1</v>
      </c>
      <c r="J5" s="54" t="s">
        <v>837</v>
      </c>
      <c r="K5" s="54" t="s">
        <v>524</v>
      </c>
      <c r="L5" s="54" t="s">
        <v>1545</v>
      </c>
      <c r="M5" s="54" t="s">
        <v>855</v>
      </c>
      <c r="N5" s="54">
        <v>1</v>
      </c>
      <c r="O5" s="54">
        <v>1</v>
      </c>
      <c r="P5" s="66">
        <v>0</v>
      </c>
      <c r="Q5" s="66" t="s">
        <v>1371</v>
      </c>
    </row>
    <row r="6" spans="1:17" x14ac:dyDescent="0.25">
      <c r="A6" s="66">
        <v>3</v>
      </c>
      <c r="B6" s="429"/>
      <c r="C6" s="426"/>
      <c r="D6" s="423"/>
      <c r="E6" s="426"/>
      <c r="F6" s="426"/>
      <c r="G6" s="458"/>
      <c r="H6" s="62">
        <v>64000</v>
      </c>
      <c r="I6" s="54">
        <v>1</v>
      </c>
      <c r="J6" s="54" t="s">
        <v>838</v>
      </c>
      <c r="K6" s="54" t="s">
        <v>525</v>
      </c>
      <c r="L6" s="54" t="s">
        <v>1546</v>
      </c>
      <c r="M6" s="54" t="s">
        <v>855</v>
      </c>
      <c r="N6" s="54">
        <v>1</v>
      </c>
      <c r="O6" s="54">
        <v>1</v>
      </c>
      <c r="P6" s="66">
        <v>0</v>
      </c>
      <c r="Q6" s="66" t="s">
        <v>841</v>
      </c>
    </row>
    <row r="7" spans="1:17" x14ac:dyDescent="0.25">
      <c r="A7" s="66">
        <v>4</v>
      </c>
      <c r="B7" s="429"/>
      <c r="C7" s="426"/>
      <c r="D7" s="423"/>
      <c r="E7" s="426"/>
      <c r="F7" s="426"/>
      <c r="G7" s="458"/>
      <c r="H7" s="62">
        <v>60000</v>
      </c>
      <c r="I7" s="54">
        <v>1</v>
      </c>
      <c r="J7" s="54" t="s">
        <v>839</v>
      </c>
      <c r="K7" s="54" t="s">
        <v>526</v>
      </c>
      <c r="L7" s="54" t="s">
        <v>1547</v>
      </c>
      <c r="M7" s="54" t="s">
        <v>855</v>
      </c>
      <c r="N7" s="54">
        <v>1</v>
      </c>
      <c r="O7" s="54">
        <v>1</v>
      </c>
      <c r="P7" s="66">
        <v>0</v>
      </c>
      <c r="Q7" s="66" t="s">
        <v>1371</v>
      </c>
    </row>
    <row r="8" spans="1:17" x14ac:dyDescent="0.25">
      <c r="A8" s="66">
        <v>5</v>
      </c>
      <c r="B8" s="429"/>
      <c r="C8" s="427"/>
      <c r="D8" s="424"/>
      <c r="E8" s="427"/>
      <c r="F8" s="427"/>
      <c r="G8" s="459"/>
      <c r="H8" s="67">
        <v>64000</v>
      </c>
      <c r="I8" s="54">
        <v>1</v>
      </c>
      <c r="J8" s="54" t="s">
        <v>840</v>
      </c>
      <c r="K8" s="54" t="s">
        <v>527</v>
      </c>
      <c r="L8" s="54" t="s">
        <v>1548</v>
      </c>
      <c r="M8" s="54" t="s">
        <v>855</v>
      </c>
      <c r="N8" s="54">
        <v>1</v>
      </c>
      <c r="O8" s="54">
        <v>1</v>
      </c>
      <c r="P8" s="66">
        <v>0</v>
      </c>
      <c r="Q8" s="66" t="s">
        <v>1371</v>
      </c>
    </row>
    <row r="9" spans="1:17" x14ac:dyDescent="0.25">
      <c r="A9" s="66">
        <v>6</v>
      </c>
      <c r="B9" s="429"/>
      <c r="C9" s="425" t="s">
        <v>535</v>
      </c>
      <c r="D9" s="422">
        <v>4</v>
      </c>
      <c r="E9" s="425" t="s">
        <v>529</v>
      </c>
      <c r="F9" s="425" t="s">
        <v>522</v>
      </c>
      <c r="G9" s="136" t="s">
        <v>229</v>
      </c>
      <c r="H9" s="67">
        <v>180000</v>
      </c>
      <c r="I9" s="54">
        <v>1</v>
      </c>
      <c r="J9" s="54" t="s">
        <v>837</v>
      </c>
      <c r="K9" s="54" t="s">
        <v>534</v>
      </c>
      <c r="L9" s="54" t="s">
        <v>1549</v>
      </c>
      <c r="M9" s="54" t="s">
        <v>855</v>
      </c>
      <c r="N9" s="54">
        <v>1</v>
      </c>
      <c r="O9" s="54">
        <v>1</v>
      </c>
      <c r="P9" s="66">
        <v>0</v>
      </c>
      <c r="Q9" s="66" t="s">
        <v>1371</v>
      </c>
    </row>
    <row r="10" spans="1:17" ht="37.5" x14ac:dyDescent="0.25">
      <c r="A10" s="66">
        <v>7</v>
      </c>
      <c r="B10" s="429"/>
      <c r="C10" s="426"/>
      <c r="D10" s="423"/>
      <c r="E10" s="426"/>
      <c r="F10" s="426"/>
      <c r="G10" s="54" t="s">
        <v>536</v>
      </c>
      <c r="H10" s="67">
        <v>180000</v>
      </c>
      <c r="I10" s="54">
        <v>1</v>
      </c>
      <c r="J10" s="54" t="s">
        <v>838</v>
      </c>
      <c r="K10" s="54" t="s">
        <v>538</v>
      </c>
      <c r="L10" s="54" t="s">
        <v>1550</v>
      </c>
      <c r="M10" s="54" t="s">
        <v>855</v>
      </c>
      <c r="N10" s="54">
        <v>1</v>
      </c>
      <c r="O10" s="54">
        <v>1</v>
      </c>
      <c r="P10" s="66">
        <v>0</v>
      </c>
      <c r="Q10" s="66" t="s">
        <v>1371</v>
      </c>
    </row>
    <row r="11" spans="1:17" ht="37.5" x14ac:dyDescent="0.25">
      <c r="A11" s="66">
        <v>8</v>
      </c>
      <c r="B11" s="429"/>
      <c r="C11" s="426"/>
      <c r="D11" s="423"/>
      <c r="E11" s="426"/>
      <c r="F11" s="426"/>
      <c r="G11" s="69" t="s">
        <v>537</v>
      </c>
      <c r="H11" s="67">
        <v>180000</v>
      </c>
      <c r="I11" s="54">
        <v>1</v>
      </c>
      <c r="J11" s="54" t="s">
        <v>838</v>
      </c>
      <c r="K11" s="54" t="s">
        <v>539</v>
      </c>
      <c r="L11" s="54" t="s">
        <v>1551</v>
      </c>
      <c r="M11" s="54" t="s">
        <v>855</v>
      </c>
      <c r="N11" s="54">
        <v>1</v>
      </c>
      <c r="O11" s="54">
        <v>1</v>
      </c>
      <c r="P11" s="66">
        <v>0</v>
      </c>
      <c r="Q11" s="66" t="s">
        <v>1371</v>
      </c>
    </row>
    <row r="12" spans="1:17" ht="37.5" x14ac:dyDescent="0.25">
      <c r="A12" s="66">
        <v>9</v>
      </c>
      <c r="B12" s="429"/>
      <c r="C12" s="427"/>
      <c r="D12" s="424"/>
      <c r="E12" s="427"/>
      <c r="F12" s="427"/>
      <c r="G12" s="54" t="s">
        <v>536</v>
      </c>
      <c r="H12" s="67">
        <v>180000</v>
      </c>
      <c r="I12" s="54">
        <v>1</v>
      </c>
      <c r="J12" s="54" t="s">
        <v>838</v>
      </c>
      <c r="K12" s="54" t="s">
        <v>540</v>
      </c>
      <c r="L12" s="54" t="s">
        <v>1552</v>
      </c>
      <c r="M12" s="54" t="s">
        <v>855</v>
      </c>
      <c r="N12" s="54">
        <v>1</v>
      </c>
      <c r="O12" s="54">
        <v>1</v>
      </c>
      <c r="P12" s="66">
        <v>0</v>
      </c>
      <c r="Q12" s="66" t="s">
        <v>1371</v>
      </c>
    </row>
    <row r="13" spans="1:17" x14ac:dyDescent="0.25">
      <c r="A13" s="66">
        <v>10</v>
      </c>
      <c r="B13" s="429"/>
      <c r="C13" s="464" t="s">
        <v>541</v>
      </c>
      <c r="D13" s="465">
        <v>4</v>
      </c>
      <c r="E13" s="464" t="s">
        <v>542</v>
      </c>
      <c r="F13" s="464" t="s">
        <v>522</v>
      </c>
      <c r="G13" s="463" t="s">
        <v>229</v>
      </c>
      <c r="H13" s="67">
        <v>68000</v>
      </c>
      <c r="I13" s="54">
        <v>1</v>
      </c>
      <c r="J13" s="54" t="s">
        <v>837</v>
      </c>
      <c r="K13" s="54" t="s">
        <v>543</v>
      </c>
      <c r="L13" s="54" t="s">
        <v>1553</v>
      </c>
      <c r="M13" s="54" t="s">
        <v>855</v>
      </c>
      <c r="N13" s="54">
        <v>1</v>
      </c>
      <c r="O13" s="54">
        <v>1</v>
      </c>
      <c r="P13" s="66">
        <v>0</v>
      </c>
      <c r="Q13" s="66" t="s">
        <v>1371</v>
      </c>
    </row>
    <row r="14" spans="1:17" x14ac:dyDescent="0.25">
      <c r="A14" s="66">
        <v>11</v>
      </c>
      <c r="B14" s="429"/>
      <c r="C14" s="464"/>
      <c r="D14" s="465"/>
      <c r="E14" s="464"/>
      <c r="F14" s="464"/>
      <c r="G14" s="463"/>
      <c r="H14" s="67">
        <v>68000</v>
      </c>
      <c r="I14" s="54">
        <v>1</v>
      </c>
      <c r="J14" s="54" t="s">
        <v>837</v>
      </c>
      <c r="K14" s="54" t="s">
        <v>544</v>
      </c>
      <c r="L14" s="54" t="s">
        <v>1554</v>
      </c>
      <c r="M14" s="54" t="s">
        <v>855</v>
      </c>
      <c r="N14" s="54">
        <v>1</v>
      </c>
      <c r="O14" s="54">
        <v>1</v>
      </c>
      <c r="P14" s="66">
        <v>0</v>
      </c>
      <c r="Q14" s="66" t="s">
        <v>1371</v>
      </c>
    </row>
    <row r="15" spans="1:17" x14ac:dyDescent="0.25">
      <c r="A15" s="66">
        <v>12</v>
      </c>
      <c r="B15" s="429"/>
      <c r="C15" s="464"/>
      <c r="D15" s="465"/>
      <c r="E15" s="464"/>
      <c r="F15" s="464"/>
      <c r="G15" s="463"/>
      <c r="H15" s="67">
        <v>68000</v>
      </c>
      <c r="I15" s="54">
        <v>1</v>
      </c>
      <c r="J15" s="54" t="s">
        <v>839</v>
      </c>
      <c r="K15" s="54" t="s">
        <v>545</v>
      </c>
      <c r="L15" s="54" t="s">
        <v>1555</v>
      </c>
      <c r="M15" s="54" t="s">
        <v>855</v>
      </c>
      <c r="N15" s="54">
        <v>1</v>
      </c>
      <c r="O15" s="54">
        <v>1</v>
      </c>
      <c r="P15" s="66">
        <v>0</v>
      </c>
      <c r="Q15" s="66" t="s">
        <v>1371</v>
      </c>
    </row>
    <row r="16" spans="1:17" x14ac:dyDescent="0.25">
      <c r="A16" s="66">
        <v>13</v>
      </c>
      <c r="B16" s="429"/>
      <c r="C16" s="464"/>
      <c r="D16" s="465"/>
      <c r="E16" s="464"/>
      <c r="F16" s="464"/>
      <c r="G16" s="463"/>
      <c r="H16" s="67">
        <v>68000</v>
      </c>
      <c r="I16" s="54">
        <v>1</v>
      </c>
      <c r="J16" s="54" t="s">
        <v>837</v>
      </c>
      <c r="K16" s="54" t="s">
        <v>546</v>
      </c>
      <c r="L16" s="54" t="s">
        <v>1556</v>
      </c>
      <c r="M16" s="54" t="s">
        <v>855</v>
      </c>
      <c r="N16" s="54">
        <v>1</v>
      </c>
      <c r="O16" s="54">
        <v>1</v>
      </c>
      <c r="P16" s="66">
        <v>0</v>
      </c>
      <c r="Q16" s="66" t="s">
        <v>1371</v>
      </c>
    </row>
    <row r="17" spans="1:17" ht="37.5" x14ac:dyDescent="0.25">
      <c r="A17" s="66">
        <v>14</v>
      </c>
      <c r="B17" s="429"/>
      <c r="C17" s="54" t="s">
        <v>547</v>
      </c>
      <c r="D17" s="53">
        <v>1</v>
      </c>
      <c r="E17" s="54" t="s">
        <v>548</v>
      </c>
      <c r="F17" s="54" t="s">
        <v>549</v>
      </c>
      <c r="G17" s="54" t="s">
        <v>550</v>
      </c>
      <c r="H17" s="62">
        <v>150000</v>
      </c>
      <c r="I17" s="54">
        <v>1</v>
      </c>
      <c r="J17" s="54" t="s">
        <v>839</v>
      </c>
      <c r="K17" s="54" t="s">
        <v>551</v>
      </c>
      <c r="L17" s="54" t="s">
        <v>1557</v>
      </c>
      <c r="M17" s="54" t="s">
        <v>855</v>
      </c>
      <c r="N17" s="54">
        <v>1</v>
      </c>
      <c r="O17" s="54">
        <v>1</v>
      </c>
      <c r="P17" s="66">
        <v>0</v>
      </c>
      <c r="Q17" s="66" t="s">
        <v>1371</v>
      </c>
    </row>
    <row r="18" spans="1:17" ht="30" customHeight="1" x14ac:dyDescent="0.25">
      <c r="A18" s="66">
        <v>15</v>
      </c>
      <c r="B18" s="429"/>
      <c r="C18" s="54" t="s">
        <v>552</v>
      </c>
      <c r="D18" s="53">
        <v>1</v>
      </c>
      <c r="E18" s="425" t="s">
        <v>554</v>
      </c>
      <c r="F18" s="464" t="s">
        <v>102</v>
      </c>
      <c r="G18" s="69">
        <v>43047</v>
      </c>
      <c r="H18" s="67">
        <v>334807</v>
      </c>
      <c r="I18" s="54">
        <v>1</v>
      </c>
      <c r="J18" s="54" t="s">
        <v>839</v>
      </c>
      <c r="K18" s="54" t="s">
        <v>555</v>
      </c>
      <c r="L18" s="54" t="s">
        <v>1558</v>
      </c>
      <c r="M18" s="54" t="s">
        <v>855</v>
      </c>
      <c r="N18" s="54">
        <v>1</v>
      </c>
      <c r="O18" s="54">
        <v>1</v>
      </c>
      <c r="P18" s="66">
        <v>0</v>
      </c>
      <c r="Q18" s="66" t="s">
        <v>1371</v>
      </c>
    </row>
    <row r="19" spans="1:17" ht="30" customHeight="1" x14ac:dyDescent="0.25">
      <c r="A19" s="66">
        <v>16</v>
      </c>
      <c r="B19" s="429"/>
      <c r="C19" s="425" t="s">
        <v>553</v>
      </c>
      <c r="D19" s="422">
        <v>9</v>
      </c>
      <c r="E19" s="426"/>
      <c r="F19" s="464"/>
      <c r="G19" s="460">
        <v>43046</v>
      </c>
      <c r="H19" s="67">
        <v>301647</v>
      </c>
      <c r="I19" s="54">
        <v>1</v>
      </c>
      <c r="J19" s="54" t="s">
        <v>839</v>
      </c>
      <c r="K19" s="54" t="s">
        <v>556</v>
      </c>
      <c r="L19" s="54" t="s">
        <v>1559</v>
      </c>
      <c r="M19" s="54" t="s">
        <v>855</v>
      </c>
      <c r="N19" s="54">
        <v>1</v>
      </c>
      <c r="O19" s="54">
        <v>1</v>
      </c>
      <c r="P19" s="66">
        <v>0</v>
      </c>
      <c r="Q19" s="66" t="s">
        <v>1371</v>
      </c>
    </row>
    <row r="20" spans="1:17" ht="30" customHeight="1" x14ac:dyDescent="0.25">
      <c r="A20" s="66">
        <v>17</v>
      </c>
      <c r="B20" s="429"/>
      <c r="C20" s="426"/>
      <c r="D20" s="423"/>
      <c r="E20" s="426"/>
      <c r="F20" s="464"/>
      <c r="G20" s="461"/>
      <c r="H20" s="67">
        <v>180879</v>
      </c>
      <c r="I20" s="54">
        <v>1</v>
      </c>
      <c r="J20" s="54" t="s">
        <v>839</v>
      </c>
      <c r="K20" s="54" t="s">
        <v>557</v>
      </c>
      <c r="L20" s="54" t="s">
        <v>1560</v>
      </c>
      <c r="M20" s="54" t="s">
        <v>855</v>
      </c>
      <c r="N20" s="54">
        <v>1</v>
      </c>
      <c r="O20" s="54">
        <v>1</v>
      </c>
      <c r="P20" s="66">
        <v>0</v>
      </c>
      <c r="Q20" s="66" t="s">
        <v>1371</v>
      </c>
    </row>
    <row r="21" spans="1:17" ht="30" customHeight="1" x14ac:dyDescent="0.25">
      <c r="A21" s="66">
        <v>18</v>
      </c>
      <c r="B21" s="429"/>
      <c r="C21" s="426"/>
      <c r="D21" s="423"/>
      <c r="E21" s="426"/>
      <c r="F21" s="464"/>
      <c r="G21" s="461"/>
      <c r="H21" s="67">
        <v>180879</v>
      </c>
      <c r="I21" s="54">
        <v>1</v>
      </c>
      <c r="J21" s="54" t="s">
        <v>839</v>
      </c>
      <c r="K21" s="54" t="s">
        <v>558</v>
      </c>
      <c r="L21" s="54" t="s">
        <v>1561</v>
      </c>
      <c r="M21" s="54" t="s">
        <v>855</v>
      </c>
      <c r="N21" s="54">
        <v>1</v>
      </c>
      <c r="O21" s="54">
        <v>1</v>
      </c>
      <c r="P21" s="66">
        <v>0</v>
      </c>
      <c r="Q21" s="66" t="s">
        <v>1371</v>
      </c>
    </row>
    <row r="22" spans="1:17" ht="30" customHeight="1" x14ac:dyDescent="0.25">
      <c r="A22" s="66">
        <v>19</v>
      </c>
      <c r="B22" s="429"/>
      <c r="C22" s="426"/>
      <c r="D22" s="423"/>
      <c r="E22" s="426"/>
      <c r="F22" s="464"/>
      <c r="G22" s="461"/>
      <c r="H22" s="67">
        <v>180879</v>
      </c>
      <c r="I22" s="54">
        <v>1</v>
      </c>
      <c r="J22" s="54" t="s">
        <v>839</v>
      </c>
      <c r="K22" s="54" t="s">
        <v>559</v>
      </c>
      <c r="L22" s="54" t="s">
        <v>1562</v>
      </c>
      <c r="M22" s="54" t="s">
        <v>855</v>
      </c>
      <c r="N22" s="54">
        <v>1</v>
      </c>
      <c r="O22" s="54">
        <v>1</v>
      </c>
      <c r="P22" s="66">
        <v>0</v>
      </c>
      <c r="Q22" s="66" t="s">
        <v>1371</v>
      </c>
    </row>
    <row r="23" spans="1:17" ht="30" customHeight="1" x14ac:dyDescent="0.25">
      <c r="A23" s="66">
        <v>20</v>
      </c>
      <c r="B23" s="429"/>
      <c r="C23" s="426"/>
      <c r="D23" s="423"/>
      <c r="E23" s="426"/>
      <c r="F23" s="464"/>
      <c r="G23" s="461"/>
      <c r="H23" s="67">
        <v>180879</v>
      </c>
      <c r="I23" s="54">
        <v>1</v>
      </c>
      <c r="J23" s="54" t="s">
        <v>839</v>
      </c>
      <c r="K23" s="54" t="s">
        <v>560</v>
      </c>
      <c r="L23" s="54" t="s">
        <v>1563</v>
      </c>
      <c r="M23" s="54" t="s">
        <v>855</v>
      </c>
      <c r="N23" s="54">
        <v>1</v>
      </c>
      <c r="O23" s="54">
        <v>1</v>
      </c>
      <c r="P23" s="66">
        <v>0</v>
      </c>
      <c r="Q23" s="66" t="s">
        <v>1371</v>
      </c>
    </row>
    <row r="24" spans="1:17" ht="30" customHeight="1" x14ac:dyDescent="0.25">
      <c r="A24" s="66">
        <v>21</v>
      </c>
      <c r="B24" s="429"/>
      <c r="C24" s="426"/>
      <c r="D24" s="423"/>
      <c r="E24" s="426"/>
      <c r="F24" s="464"/>
      <c r="G24" s="461"/>
      <c r="H24" s="67">
        <v>180879</v>
      </c>
      <c r="I24" s="54">
        <v>1</v>
      </c>
      <c r="J24" s="54" t="s">
        <v>839</v>
      </c>
      <c r="K24" s="54" t="s">
        <v>561</v>
      </c>
      <c r="L24" s="54" t="s">
        <v>1564</v>
      </c>
      <c r="M24" s="54" t="s">
        <v>855</v>
      </c>
      <c r="N24" s="54">
        <v>1</v>
      </c>
      <c r="O24" s="54">
        <v>1</v>
      </c>
      <c r="P24" s="66">
        <v>0</v>
      </c>
      <c r="Q24" s="66" t="s">
        <v>1371</v>
      </c>
    </row>
    <row r="25" spans="1:17" ht="30" customHeight="1" x14ac:dyDescent="0.25">
      <c r="A25" s="66">
        <v>22</v>
      </c>
      <c r="B25" s="429"/>
      <c r="C25" s="426"/>
      <c r="D25" s="423"/>
      <c r="E25" s="426"/>
      <c r="F25" s="464"/>
      <c r="G25" s="461"/>
      <c r="H25" s="67">
        <v>180879</v>
      </c>
      <c r="I25" s="54">
        <v>1</v>
      </c>
      <c r="J25" s="54" t="s">
        <v>839</v>
      </c>
      <c r="K25" s="54" t="s">
        <v>562</v>
      </c>
      <c r="L25" s="54" t="s">
        <v>1565</v>
      </c>
      <c r="M25" s="54" t="s">
        <v>855</v>
      </c>
      <c r="N25" s="54">
        <v>1</v>
      </c>
      <c r="O25" s="54">
        <v>1</v>
      </c>
      <c r="P25" s="66">
        <v>0</v>
      </c>
      <c r="Q25" s="66" t="s">
        <v>1371</v>
      </c>
    </row>
    <row r="26" spans="1:17" ht="30" customHeight="1" x14ac:dyDescent="0.25">
      <c r="A26" s="66">
        <v>23</v>
      </c>
      <c r="B26" s="429"/>
      <c r="C26" s="426"/>
      <c r="D26" s="423"/>
      <c r="E26" s="426"/>
      <c r="F26" s="464"/>
      <c r="G26" s="461"/>
      <c r="H26" s="67">
        <v>180879</v>
      </c>
      <c r="I26" s="54">
        <v>1</v>
      </c>
      <c r="J26" s="54" t="s">
        <v>839</v>
      </c>
      <c r="K26" s="54" t="s">
        <v>563</v>
      </c>
      <c r="L26" s="54" t="s">
        <v>1566</v>
      </c>
      <c r="M26" s="54" t="s">
        <v>855</v>
      </c>
      <c r="N26" s="54">
        <v>1</v>
      </c>
      <c r="O26" s="54">
        <v>1</v>
      </c>
      <c r="P26" s="66">
        <v>0</v>
      </c>
      <c r="Q26" s="66" t="s">
        <v>1371</v>
      </c>
    </row>
    <row r="27" spans="1:17" ht="30" customHeight="1" x14ac:dyDescent="0.25">
      <c r="A27" s="66">
        <v>24</v>
      </c>
      <c r="B27" s="429"/>
      <c r="C27" s="427"/>
      <c r="D27" s="424"/>
      <c r="E27" s="427"/>
      <c r="F27" s="464"/>
      <c r="G27" s="462"/>
      <c r="H27" s="67">
        <v>180879</v>
      </c>
      <c r="I27" s="54">
        <v>1</v>
      </c>
      <c r="J27" s="54" t="s">
        <v>839</v>
      </c>
      <c r="K27" s="54" t="s">
        <v>564</v>
      </c>
      <c r="L27" s="54" t="s">
        <v>1567</v>
      </c>
      <c r="M27" s="54" t="s">
        <v>855</v>
      </c>
      <c r="N27" s="54">
        <v>1</v>
      </c>
      <c r="O27" s="54">
        <v>1</v>
      </c>
      <c r="P27" s="66">
        <v>0</v>
      </c>
      <c r="Q27" s="66" t="s">
        <v>1371</v>
      </c>
    </row>
    <row r="28" spans="1:17" ht="56.25" x14ac:dyDescent="0.25">
      <c r="A28" s="66">
        <v>25</v>
      </c>
      <c r="B28" s="429"/>
      <c r="C28" s="425" t="s">
        <v>565</v>
      </c>
      <c r="D28" s="422">
        <v>2</v>
      </c>
      <c r="E28" s="425" t="s">
        <v>567</v>
      </c>
      <c r="F28" s="425" t="s">
        <v>568</v>
      </c>
      <c r="G28" s="54" t="s">
        <v>569</v>
      </c>
      <c r="H28" s="466">
        <v>145931.42000000001</v>
      </c>
      <c r="I28" s="54">
        <v>1</v>
      </c>
      <c r="J28" s="54" t="s">
        <v>838</v>
      </c>
      <c r="K28" s="54" t="s">
        <v>571</v>
      </c>
      <c r="L28" s="54" t="s">
        <v>1568</v>
      </c>
      <c r="M28" s="54" t="s">
        <v>855</v>
      </c>
      <c r="N28" s="54">
        <v>1</v>
      </c>
      <c r="O28" s="54">
        <v>1</v>
      </c>
      <c r="P28" s="66">
        <v>0</v>
      </c>
      <c r="Q28" s="66" t="s">
        <v>1371</v>
      </c>
    </row>
    <row r="29" spans="1:17" x14ac:dyDescent="0.25">
      <c r="A29" s="66">
        <v>26</v>
      </c>
      <c r="B29" s="429"/>
      <c r="C29" s="427"/>
      <c r="D29" s="424"/>
      <c r="E29" s="426"/>
      <c r="F29" s="426"/>
      <c r="G29" s="425" t="s">
        <v>570</v>
      </c>
      <c r="H29" s="466"/>
      <c r="I29" s="54">
        <v>1</v>
      </c>
      <c r="J29" s="54" t="s">
        <v>838</v>
      </c>
      <c r="K29" s="54" t="s">
        <v>572</v>
      </c>
      <c r="L29" s="54" t="s">
        <v>1569</v>
      </c>
      <c r="M29" s="54" t="s">
        <v>855</v>
      </c>
      <c r="N29" s="54">
        <v>1</v>
      </c>
      <c r="O29" s="54">
        <v>1</v>
      </c>
      <c r="P29" s="66">
        <v>0</v>
      </c>
      <c r="Q29" s="66" t="s">
        <v>1371</v>
      </c>
    </row>
    <row r="30" spans="1:17" x14ac:dyDescent="0.25">
      <c r="A30" s="66">
        <v>27</v>
      </c>
      <c r="B30" s="429"/>
      <c r="C30" s="425" t="s">
        <v>566</v>
      </c>
      <c r="D30" s="422">
        <v>5</v>
      </c>
      <c r="E30" s="426"/>
      <c r="F30" s="426"/>
      <c r="G30" s="426"/>
      <c r="H30" s="466">
        <v>1211304.75</v>
      </c>
      <c r="I30" s="54">
        <v>1</v>
      </c>
      <c r="J30" s="54" t="s">
        <v>837</v>
      </c>
      <c r="K30" s="54" t="s">
        <v>573</v>
      </c>
      <c r="L30" s="54" t="s">
        <v>1570</v>
      </c>
      <c r="M30" s="54" t="s">
        <v>855</v>
      </c>
      <c r="N30" s="54">
        <v>1</v>
      </c>
      <c r="O30" s="54">
        <v>1</v>
      </c>
      <c r="P30" s="66">
        <v>0</v>
      </c>
      <c r="Q30" s="66" t="s">
        <v>1371</v>
      </c>
    </row>
    <row r="31" spans="1:17" x14ac:dyDescent="0.25">
      <c r="A31" s="66">
        <v>28</v>
      </c>
      <c r="B31" s="429"/>
      <c r="C31" s="426"/>
      <c r="D31" s="423"/>
      <c r="E31" s="426"/>
      <c r="F31" s="426"/>
      <c r="G31" s="426"/>
      <c r="H31" s="466"/>
      <c r="I31" s="54">
        <v>1</v>
      </c>
      <c r="J31" s="54" t="s">
        <v>838</v>
      </c>
      <c r="K31" s="54" t="s">
        <v>574</v>
      </c>
      <c r="L31" s="54" t="s">
        <v>1571</v>
      </c>
      <c r="M31" s="54" t="s">
        <v>855</v>
      </c>
      <c r="N31" s="54">
        <v>1</v>
      </c>
      <c r="O31" s="54">
        <v>1</v>
      </c>
      <c r="P31" s="66">
        <v>0</v>
      </c>
      <c r="Q31" s="66" t="s">
        <v>1371</v>
      </c>
    </row>
    <row r="32" spans="1:17" x14ac:dyDescent="0.25">
      <c r="A32" s="66">
        <v>29</v>
      </c>
      <c r="B32" s="429"/>
      <c r="C32" s="426"/>
      <c r="D32" s="423"/>
      <c r="E32" s="426"/>
      <c r="F32" s="426"/>
      <c r="G32" s="426"/>
      <c r="H32" s="466"/>
      <c r="I32" s="54">
        <v>1</v>
      </c>
      <c r="J32" s="54" t="s">
        <v>838</v>
      </c>
      <c r="K32" s="54" t="s">
        <v>575</v>
      </c>
      <c r="L32" s="54" t="s">
        <v>1572</v>
      </c>
      <c r="M32" s="54" t="s">
        <v>855</v>
      </c>
      <c r="N32" s="54">
        <v>1</v>
      </c>
      <c r="O32" s="54">
        <v>1</v>
      </c>
      <c r="P32" s="66">
        <v>0</v>
      </c>
      <c r="Q32" s="66" t="s">
        <v>1371</v>
      </c>
    </row>
    <row r="33" spans="1:17" x14ac:dyDescent="0.25">
      <c r="A33" s="66">
        <v>30</v>
      </c>
      <c r="B33" s="429"/>
      <c r="C33" s="426"/>
      <c r="D33" s="423"/>
      <c r="E33" s="426"/>
      <c r="F33" s="426"/>
      <c r="G33" s="426"/>
      <c r="H33" s="466"/>
      <c r="I33" s="54">
        <v>1</v>
      </c>
      <c r="J33" s="54" t="s">
        <v>838</v>
      </c>
      <c r="K33" s="54" t="s">
        <v>576</v>
      </c>
      <c r="L33" s="54" t="s">
        <v>1573</v>
      </c>
      <c r="M33" s="54" t="s">
        <v>855</v>
      </c>
      <c r="N33" s="54">
        <v>1</v>
      </c>
      <c r="O33" s="54">
        <v>1</v>
      </c>
      <c r="P33" s="66">
        <v>0</v>
      </c>
      <c r="Q33" s="66" t="s">
        <v>1371</v>
      </c>
    </row>
    <row r="34" spans="1:17" x14ac:dyDescent="0.25">
      <c r="A34" s="66">
        <v>31</v>
      </c>
      <c r="B34" s="429"/>
      <c r="C34" s="427"/>
      <c r="D34" s="424"/>
      <c r="E34" s="427"/>
      <c r="F34" s="427"/>
      <c r="G34" s="427"/>
      <c r="H34" s="466"/>
      <c r="I34" s="54">
        <v>1</v>
      </c>
      <c r="J34" s="54" t="s">
        <v>838</v>
      </c>
      <c r="K34" s="54" t="s">
        <v>577</v>
      </c>
      <c r="L34" s="54" t="s">
        <v>1574</v>
      </c>
      <c r="M34" s="54" t="s">
        <v>855</v>
      </c>
      <c r="N34" s="54">
        <v>1</v>
      </c>
      <c r="O34" s="54">
        <v>1</v>
      </c>
      <c r="P34" s="66">
        <v>0</v>
      </c>
      <c r="Q34" s="66" t="s">
        <v>1371</v>
      </c>
    </row>
    <row r="35" spans="1:17" ht="37.5" x14ac:dyDescent="0.25">
      <c r="A35" s="66">
        <v>32</v>
      </c>
      <c r="B35" s="429"/>
      <c r="C35" s="425" t="s">
        <v>591</v>
      </c>
      <c r="D35" s="422">
        <v>5</v>
      </c>
      <c r="E35" s="425" t="s">
        <v>592</v>
      </c>
      <c r="F35" s="425" t="s">
        <v>581</v>
      </c>
      <c r="G35" s="425" t="s">
        <v>593</v>
      </c>
      <c r="H35" s="466">
        <v>676359</v>
      </c>
      <c r="I35" s="54">
        <v>1</v>
      </c>
      <c r="J35" s="54" t="s">
        <v>839</v>
      </c>
      <c r="K35" s="54" t="s">
        <v>594</v>
      </c>
      <c r="L35" s="54" t="s">
        <v>1575</v>
      </c>
      <c r="M35" s="54" t="s">
        <v>855</v>
      </c>
      <c r="N35" s="54">
        <v>1</v>
      </c>
      <c r="O35" s="54">
        <v>1</v>
      </c>
      <c r="P35" s="66">
        <v>0</v>
      </c>
      <c r="Q35" s="66" t="s">
        <v>1434</v>
      </c>
    </row>
    <row r="36" spans="1:17" x14ac:dyDescent="0.25">
      <c r="A36" s="66">
        <v>33</v>
      </c>
      <c r="B36" s="429"/>
      <c r="C36" s="426"/>
      <c r="D36" s="423"/>
      <c r="E36" s="426"/>
      <c r="F36" s="426"/>
      <c r="G36" s="426"/>
      <c r="H36" s="466"/>
      <c r="I36" s="54">
        <v>1</v>
      </c>
      <c r="J36" s="54" t="s">
        <v>839</v>
      </c>
      <c r="K36" s="54" t="s">
        <v>595</v>
      </c>
      <c r="L36" s="54" t="s">
        <v>1576</v>
      </c>
      <c r="M36" s="54" t="s">
        <v>855</v>
      </c>
      <c r="N36" s="54">
        <v>1</v>
      </c>
      <c r="O36" s="54">
        <v>1</v>
      </c>
      <c r="P36" s="66">
        <v>0</v>
      </c>
      <c r="Q36" s="66" t="s">
        <v>1371</v>
      </c>
    </row>
    <row r="37" spans="1:17" x14ac:dyDescent="0.25">
      <c r="A37" s="66">
        <v>34</v>
      </c>
      <c r="B37" s="429"/>
      <c r="C37" s="426"/>
      <c r="D37" s="423"/>
      <c r="E37" s="426"/>
      <c r="F37" s="426"/>
      <c r="G37" s="426"/>
      <c r="H37" s="466"/>
      <c r="I37" s="54">
        <v>1</v>
      </c>
      <c r="J37" s="54" t="s">
        <v>837</v>
      </c>
      <c r="K37" s="54" t="s">
        <v>596</v>
      </c>
      <c r="L37" s="54" t="s">
        <v>1577</v>
      </c>
      <c r="M37" s="54" t="s">
        <v>855</v>
      </c>
      <c r="N37" s="54">
        <v>1</v>
      </c>
      <c r="O37" s="54">
        <v>1</v>
      </c>
      <c r="P37" s="66">
        <v>0</v>
      </c>
      <c r="Q37" s="66" t="s">
        <v>1371</v>
      </c>
    </row>
    <row r="38" spans="1:17" x14ac:dyDescent="0.25">
      <c r="A38" s="66">
        <v>35</v>
      </c>
      <c r="B38" s="429"/>
      <c r="C38" s="426"/>
      <c r="D38" s="423"/>
      <c r="E38" s="426"/>
      <c r="F38" s="426"/>
      <c r="G38" s="426"/>
      <c r="H38" s="466"/>
      <c r="I38" s="54">
        <v>1</v>
      </c>
      <c r="J38" s="54" t="s">
        <v>839</v>
      </c>
      <c r="K38" s="54" t="s">
        <v>597</v>
      </c>
      <c r="L38" s="54" t="s">
        <v>1578</v>
      </c>
      <c r="M38" s="54" t="s">
        <v>855</v>
      </c>
      <c r="N38" s="54">
        <v>1</v>
      </c>
      <c r="O38" s="54">
        <v>1</v>
      </c>
      <c r="P38" s="66">
        <v>0</v>
      </c>
      <c r="Q38" s="66" t="s">
        <v>1371</v>
      </c>
    </row>
    <row r="39" spans="1:17" x14ac:dyDescent="0.25">
      <c r="A39" s="66">
        <v>36</v>
      </c>
      <c r="B39" s="429"/>
      <c r="C39" s="427"/>
      <c r="D39" s="424"/>
      <c r="E39" s="427"/>
      <c r="F39" s="427"/>
      <c r="G39" s="427"/>
      <c r="H39" s="466"/>
      <c r="I39" s="54">
        <v>1</v>
      </c>
      <c r="J39" s="54" t="s">
        <v>837</v>
      </c>
      <c r="K39" s="54" t="s">
        <v>598</v>
      </c>
      <c r="L39" s="54" t="s">
        <v>1579</v>
      </c>
      <c r="M39" s="54" t="s">
        <v>855</v>
      </c>
      <c r="N39" s="54">
        <v>1</v>
      </c>
      <c r="O39" s="54">
        <v>1</v>
      </c>
      <c r="P39" s="66">
        <v>0</v>
      </c>
      <c r="Q39" s="66" t="s">
        <v>1371</v>
      </c>
    </row>
    <row r="40" spans="1:17" x14ac:dyDescent="0.25">
      <c r="A40" s="66">
        <v>37</v>
      </c>
      <c r="B40" s="429"/>
      <c r="C40" s="425" t="s">
        <v>599</v>
      </c>
      <c r="D40" s="422">
        <v>4</v>
      </c>
      <c r="E40" s="425" t="s">
        <v>600</v>
      </c>
      <c r="F40" s="425" t="s">
        <v>568</v>
      </c>
      <c r="G40" s="425" t="s">
        <v>601</v>
      </c>
      <c r="H40" s="466">
        <v>981552</v>
      </c>
      <c r="I40" s="54">
        <v>1</v>
      </c>
      <c r="J40" s="54" t="s">
        <v>838</v>
      </c>
      <c r="K40" s="54" t="s">
        <v>602</v>
      </c>
      <c r="L40" s="54" t="s">
        <v>1580</v>
      </c>
      <c r="M40" s="54" t="s">
        <v>855</v>
      </c>
      <c r="N40" s="54">
        <v>1</v>
      </c>
      <c r="O40" s="54">
        <v>1</v>
      </c>
      <c r="P40" s="66">
        <v>0</v>
      </c>
      <c r="Q40" s="66" t="s">
        <v>1371</v>
      </c>
    </row>
    <row r="41" spans="1:17" x14ac:dyDescent="0.25">
      <c r="A41" s="66">
        <v>38</v>
      </c>
      <c r="B41" s="429"/>
      <c r="C41" s="426"/>
      <c r="D41" s="423"/>
      <c r="E41" s="426"/>
      <c r="F41" s="426"/>
      <c r="G41" s="426"/>
      <c r="H41" s="466"/>
      <c r="I41" s="54">
        <v>1</v>
      </c>
      <c r="J41" s="54" t="s">
        <v>838</v>
      </c>
      <c r="K41" s="54" t="s">
        <v>603</v>
      </c>
      <c r="L41" s="54" t="s">
        <v>1581</v>
      </c>
      <c r="M41" s="54" t="s">
        <v>855</v>
      </c>
      <c r="N41" s="54">
        <v>1</v>
      </c>
      <c r="O41" s="54">
        <v>1</v>
      </c>
      <c r="P41" s="66">
        <v>0</v>
      </c>
      <c r="Q41" s="66" t="s">
        <v>1371</v>
      </c>
    </row>
    <row r="42" spans="1:17" x14ac:dyDescent="0.25">
      <c r="A42" s="66">
        <v>39</v>
      </c>
      <c r="B42" s="429"/>
      <c r="C42" s="426"/>
      <c r="D42" s="423"/>
      <c r="E42" s="426"/>
      <c r="F42" s="426"/>
      <c r="G42" s="426"/>
      <c r="H42" s="466"/>
      <c r="I42" s="54">
        <v>1</v>
      </c>
      <c r="J42" s="54" t="s">
        <v>838</v>
      </c>
      <c r="K42" s="54" t="s">
        <v>604</v>
      </c>
      <c r="L42" s="54" t="s">
        <v>1582</v>
      </c>
      <c r="M42" s="54" t="s">
        <v>855</v>
      </c>
      <c r="N42" s="54">
        <v>1</v>
      </c>
      <c r="O42" s="54">
        <v>1</v>
      </c>
      <c r="P42" s="66">
        <v>0</v>
      </c>
      <c r="Q42" s="66" t="s">
        <v>1371</v>
      </c>
    </row>
    <row r="43" spans="1:17" x14ac:dyDescent="0.25">
      <c r="A43" s="66">
        <v>40</v>
      </c>
      <c r="B43" s="429"/>
      <c r="C43" s="427"/>
      <c r="D43" s="424"/>
      <c r="E43" s="427"/>
      <c r="F43" s="427"/>
      <c r="G43" s="427"/>
      <c r="H43" s="466"/>
      <c r="I43" s="54">
        <v>1</v>
      </c>
      <c r="J43" s="54" t="s">
        <v>838</v>
      </c>
      <c r="K43" s="54" t="s">
        <v>605</v>
      </c>
      <c r="L43" s="54" t="s">
        <v>1583</v>
      </c>
      <c r="M43" s="54" t="s">
        <v>855</v>
      </c>
      <c r="N43" s="54">
        <v>1</v>
      </c>
      <c r="O43" s="54">
        <v>1</v>
      </c>
      <c r="P43" s="66">
        <v>0</v>
      </c>
      <c r="Q43" s="66" t="s">
        <v>1371</v>
      </c>
    </row>
    <row r="44" spans="1:17" x14ac:dyDescent="0.25">
      <c r="A44" s="66">
        <v>41</v>
      </c>
      <c r="B44" s="429"/>
      <c r="C44" s="431" t="s">
        <v>668</v>
      </c>
      <c r="D44" s="441">
        <v>5</v>
      </c>
      <c r="E44" s="434" t="s">
        <v>669</v>
      </c>
      <c r="F44" s="444" t="s">
        <v>644</v>
      </c>
      <c r="G44" s="444" t="s">
        <v>670</v>
      </c>
      <c r="H44" s="470">
        <v>479005</v>
      </c>
      <c r="I44" s="89">
        <v>1</v>
      </c>
      <c r="J44" s="54" t="s">
        <v>838</v>
      </c>
      <c r="K44" s="66" t="s">
        <v>671</v>
      </c>
      <c r="L44" s="54" t="s">
        <v>1584</v>
      </c>
      <c r="M44" s="54" t="s">
        <v>855</v>
      </c>
      <c r="N44" s="54">
        <v>1</v>
      </c>
      <c r="O44" s="54">
        <v>1</v>
      </c>
      <c r="P44" s="66">
        <v>0</v>
      </c>
      <c r="Q44" s="66" t="s">
        <v>1371</v>
      </c>
    </row>
    <row r="45" spans="1:17" x14ac:dyDescent="0.25">
      <c r="A45" s="66">
        <v>42</v>
      </c>
      <c r="B45" s="429"/>
      <c r="C45" s="432"/>
      <c r="D45" s="442"/>
      <c r="E45" s="435"/>
      <c r="F45" s="445"/>
      <c r="G45" s="445"/>
      <c r="H45" s="471"/>
      <c r="I45" s="89">
        <v>1</v>
      </c>
      <c r="J45" s="54" t="s">
        <v>838</v>
      </c>
      <c r="K45" s="66" t="s">
        <v>672</v>
      </c>
      <c r="L45" s="54" t="s">
        <v>1585</v>
      </c>
      <c r="M45" s="54" t="s">
        <v>855</v>
      </c>
      <c r="N45" s="54">
        <v>1</v>
      </c>
      <c r="O45" s="54">
        <v>1</v>
      </c>
      <c r="P45" s="66">
        <v>0</v>
      </c>
      <c r="Q45" s="66" t="s">
        <v>1371</v>
      </c>
    </row>
    <row r="46" spans="1:17" x14ac:dyDescent="0.25">
      <c r="A46" s="66">
        <v>43</v>
      </c>
      <c r="B46" s="429"/>
      <c r="C46" s="432"/>
      <c r="D46" s="442"/>
      <c r="E46" s="435"/>
      <c r="F46" s="445"/>
      <c r="G46" s="445"/>
      <c r="H46" s="471"/>
      <c r="I46" s="89">
        <v>1</v>
      </c>
      <c r="J46" s="54" t="s">
        <v>838</v>
      </c>
      <c r="K46" s="66" t="s">
        <v>673</v>
      </c>
      <c r="L46" s="54" t="s">
        <v>1586</v>
      </c>
      <c r="M46" s="54" t="s">
        <v>855</v>
      </c>
      <c r="N46" s="54">
        <v>1</v>
      </c>
      <c r="O46" s="54">
        <v>1</v>
      </c>
      <c r="P46" s="66">
        <v>0</v>
      </c>
      <c r="Q46" s="66" t="s">
        <v>1371</v>
      </c>
    </row>
    <row r="47" spans="1:17" x14ac:dyDescent="0.25">
      <c r="A47" s="66">
        <v>44</v>
      </c>
      <c r="B47" s="429"/>
      <c r="C47" s="432"/>
      <c r="D47" s="442"/>
      <c r="E47" s="435"/>
      <c r="F47" s="445"/>
      <c r="G47" s="445"/>
      <c r="H47" s="471"/>
      <c r="I47" s="89">
        <v>1</v>
      </c>
      <c r="J47" s="54" t="s">
        <v>838</v>
      </c>
      <c r="K47" s="66" t="s">
        <v>674</v>
      </c>
      <c r="L47" s="54" t="s">
        <v>1587</v>
      </c>
      <c r="M47" s="54" t="s">
        <v>855</v>
      </c>
      <c r="N47" s="54">
        <v>1</v>
      </c>
      <c r="O47" s="54">
        <v>1</v>
      </c>
      <c r="P47" s="66">
        <v>0</v>
      </c>
      <c r="Q47" s="66" t="s">
        <v>1371</v>
      </c>
    </row>
    <row r="48" spans="1:17" x14ac:dyDescent="0.25">
      <c r="A48" s="66">
        <v>45</v>
      </c>
      <c r="B48" s="430"/>
      <c r="C48" s="433"/>
      <c r="D48" s="443"/>
      <c r="E48" s="436"/>
      <c r="F48" s="446"/>
      <c r="G48" s="446"/>
      <c r="H48" s="472"/>
      <c r="I48" s="89">
        <v>1</v>
      </c>
      <c r="J48" s="54" t="s">
        <v>838</v>
      </c>
      <c r="K48" s="66" t="s">
        <v>1375</v>
      </c>
      <c r="L48" s="54" t="s">
        <v>1588</v>
      </c>
      <c r="M48" s="54" t="s">
        <v>855</v>
      </c>
      <c r="N48" s="54">
        <v>1</v>
      </c>
      <c r="O48" s="54">
        <v>1</v>
      </c>
      <c r="P48" s="66">
        <v>0</v>
      </c>
      <c r="Q48" s="66" t="s">
        <v>1400</v>
      </c>
    </row>
    <row r="49" spans="1:17" x14ac:dyDescent="0.25">
      <c r="A49" s="66">
        <v>46</v>
      </c>
      <c r="B49" s="419" t="s">
        <v>590</v>
      </c>
      <c r="C49" s="425" t="s">
        <v>843</v>
      </c>
      <c r="D49" s="422">
        <v>3</v>
      </c>
      <c r="E49" s="425" t="s">
        <v>528</v>
      </c>
      <c r="F49" s="425" t="s">
        <v>522</v>
      </c>
      <c r="G49" s="136" t="s">
        <v>229</v>
      </c>
      <c r="H49" s="67">
        <v>800000</v>
      </c>
      <c r="I49" s="54">
        <v>1</v>
      </c>
      <c r="J49" s="54" t="s">
        <v>839</v>
      </c>
      <c r="K49" s="54" t="s">
        <v>531</v>
      </c>
      <c r="L49" s="54" t="s">
        <v>1589</v>
      </c>
      <c r="M49" s="54" t="s">
        <v>855</v>
      </c>
      <c r="N49" s="54">
        <v>1</v>
      </c>
      <c r="O49" s="54">
        <v>1</v>
      </c>
      <c r="P49" s="66">
        <v>0</v>
      </c>
      <c r="Q49" s="66" t="s">
        <v>1371</v>
      </c>
    </row>
    <row r="50" spans="1:17" x14ac:dyDescent="0.25">
      <c r="A50" s="66">
        <v>47</v>
      </c>
      <c r="B50" s="420"/>
      <c r="C50" s="426"/>
      <c r="D50" s="423"/>
      <c r="E50" s="426"/>
      <c r="F50" s="426"/>
      <c r="G50" s="69" t="s">
        <v>530</v>
      </c>
      <c r="H50" s="139">
        <v>800000</v>
      </c>
      <c r="I50" s="54">
        <v>1</v>
      </c>
      <c r="J50" s="54" t="s">
        <v>842</v>
      </c>
      <c r="K50" s="54" t="s">
        <v>532</v>
      </c>
      <c r="L50" s="54" t="s">
        <v>1590</v>
      </c>
      <c r="M50" s="54" t="s">
        <v>855</v>
      </c>
      <c r="N50" s="54">
        <v>1</v>
      </c>
      <c r="O50" s="54">
        <v>1</v>
      </c>
      <c r="P50" s="66">
        <v>0</v>
      </c>
      <c r="Q50" s="66" t="s">
        <v>1371</v>
      </c>
    </row>
    <row r="51" spans="1:17" x14ac:dyDescent="0.25">
      <c r="A51" s="66">
        <v>48</v>
      </c>
      <c r="B51" s="420"/>
      <c r="C51" s="427"/>
      <c r="D51" s="424"/>
      <c r="E51" s="427"/>
      <c r="F51" s="427"/>
      <c r="G51" s="136" t="s">
        <v>229</v>
      </c>
      <c r="H51" s="139">
        <v>800000</v>
      </c>
      <c r="I51" s="54">
        <v>1</v>
      </c>
      <c r="J51" s="54" t="s">
        <v>837</v>
      </c>
      <c r="K51" s="54" t="s">
        <v>533</v>
      </c>
      <c r="L51" s="54" t="s">
        <v>1591</v>
      </c>
      <c r="M51" s="54" t="s">
        <v>855</v>
      </c>
      <c r="N51" s="54">
        <v>1</v>
      </c>
      <c r="O51" s="54">
        <v>1</v>
      </c>
      <c r="P51" s="66">
        <v>0</v>
      </c>
      <c r="Q51" s="66" t="s">
        <v>1371</v>
      </c>
    </row>
    <row r="52" spans="1:17" ht="37.5" x14ac:dyDescent="0.25">
      <c r="A52" s="66">
        <v>49</v>
      </c>
      <c r="B52" s="420"/>
      <c r="C52" s="54" t="s">
        <v>578</v>
      </c>
      <c r="D52" s="172">
        <v>1</v>
      </c>
      <c r="E52" s="54" t="s">
        <v>580</v>
      </c>
      <c r="F52" s="54" t="s">
        <v>581</v>
      </c>
      <c r="G52" s="136" t="s">
        <v>584</v>
      </c>
      <c r="H52" s="62">
        <v>4315923</v>
      </c>
      <c r="I52" s="54">
        <v>1</v>
      </c>
      <c r="J52" s="54" t="s">
        <v>838</v>
      </c>
      <c r="K52" s="54" t="s">
        <v>587</v>
      </c>
      <c r="L52" s="54" t="s">
        <v>1592</v>
      </c>
      <c r="M52" s="54" t="s">
        <v>855</v>
      </c>
      <c r="N52" s="54">
        <v>1</v>
      </c>
      <c r="O52" s="54">
        <v>1</v>
      </c>
      <c r="P52" s="66">
        <v>0</v>
      </c>
      <c r="Q52" s="66" t="s">
        <v>1371</v>
      </c>
    </row>
    <row r="53" spans="1:17" ht="37.5" x14ac:dyDescent="0.25">
      <c r="A53" s="66">
        <v>50</v>
      </c>
      <c r="B53" s="420"/>
      <c r="C53" s="54" t="s">
        <v>579</v>
      </c>
      <c r="D53" s="172">
        <v>1</v>
      </c>
      <c r="E53" s="54" t="s">
        <v>582</v>
      </c>
      <c r="F53" s="54" t="s">
        <v>568</v>
      </c>
      <c r="G53" s="136" t="s">
        <v>585</v>
      </c>
      <c r="H53" s="62">
        <v>931551</v>
      </c>
      <c r="I53" s="54">
        <v>1</v>
      </c>
      <c r="J53" s="54" t="s">
        <v>839</v>
      </c>
      <c r="K53" s="54" t="s">
        <v>588</v>
      </c>
      <c r="L53" s="54" t="s">
        <v>1593</v>
      </c>
      <c r="M53" s="54" t="s">
        <v>855</v>
      </c>
      <c r="N53" s="54">
        <v>1</v>
      </c>
      <c r="O53" s="54">
        <v>1</v>
      </c>
      <c r="P53" s="66">
        <v>0</v>
      </c>
      <c r="Q53" s="66" t="s">
        <v>1371</v>
      </c>
    </row>
    <row r="54" spans="1:17" ht="37.5" x14ac:dyDescent="0.25">
      <c r="A54" s="66">
        <v>51</v>
      </c>
      <c r="B54" s="420"/>
      <c r="C54" s="54" t="s">
        <v>579</v>
      </c>
      <c r="D54" s="172">
        <v>1</v>
      </c>
      <c r="E54" s="54" t="s">
        <v>583</v>
      </c>
      <c r="F54" s="54" t="s">
        <v>568</v>
      </c>
      <c r="G54" s="136" t="s">
        <v>586</v>
      </c>
      <c r="H54" s="62">
        <v>998725</v>
      </c>
      <c r="I54" s="54">
        <v>1</v>
      </c>
      <c r="J54" s="54" t="s">
        <v>838</v>
      </c>
      <c r="K54" s="54" t="s">
        <v>589</v>
      </c>
      <c r="L54" s="54" t="s">
        <v>1594</v>
      </c>
      <c r="M54" s="54" t="s">
        <v>855</v>
      </c>
      <c r="N54" s="54">
        <v>1</v>
      </c>
      <c r="O54" s="54">
        <v>1</v>
      </c>
      <c r="P54" s="66">
        <v>0</v>
      </c>
      <c r="Q54" s="66" t="s">
        <v>1371</v>
      </c>
    </row>
    <row r="55" spans="1:17" ht="37.5" x14ac:dyDescent="0.25">
      <c r="A55" s="66">
        <v>52</v>
      </c>
      <c r="B55" s="420"/>
      <c r="C55" s="119" t="s">
        <v>964</v>
      </c>
      <c r="D55" s="53">
        <v>1</v>
      </c>
      <c r="E55" s="119" t="s">
        <v>1108</v>
      </c>
      <c r="F55" s="119" t="s">
        <v>1109</v>
      </c>
      <c r="G55" s="119" t="s">
        <v>221</v>
      </c>
      <c r="H55" s="62">
        <v>3565953</v>
      </c>
      <c r="I55" s="54">
        <v>1</v>
      </c>
      <c r="J55" s="54" t="s">
        <v>838</v>
      </c>
      <c r="K55" s="54" t="s">
        <v>1107</v>
      </c>
      <c r="L55" s="54" t="s">
        <v>1595</v>
      </c>
      <c r="M55" s="54" t="s">
        <v>855</v>
      </c>
      <c r="N55" s="54">
        <v>1</v>
      </c>
      <c r="O55" s="54">
        <v>1</v>
      </c>
      <c r="P55" s="66">
        <v>0</v>
      </c>
      <c r="Q55" s="66" t="s">
        <v>841</v>
      </c>
    </row>
    <row r="56" spans="1:17" ht="37.5" x14ac:dyDescent="0.25">
      <c r="A56" s="66">
        <v>53</v>
      </c>
      <c r="B56" s="421"/>
      <c r="C56" s="119" t="s">
        <v>965</v>
      </c>
      <c r="D56" s="53">
        <v>1</v>
      </c>
      <c r="E56" s="119" t="s">
        <v>221</v>
      </c>
      <c r="F56" s="119" t="s">
        <v>1110</v>
      </c>
      <c r="G56" s="138" t="s">
        <v>1111</v>
      </c>
      <c r="H56" s="62">
        <v>2799</v>
      </c>
      <c r="I56" s="54">
        <v>1</v>
      </c>
      <c r="J56" s="54" t="s">
        <v>838</v>
      </c>
      <c r="K56" s="54" t="s">
        <v>966</v>
      </c>
      <c r="L56" s="54" t="s">
        <v>1596</v>
      </c>
      <c r="M56" s="54" t="s">
        <v>855</v>
      </c>
      <c r="N56" s="54">
        <v>1</v>
      </c>
      <c r="O56" s="54">
        <v>1</v>
      </c>
      <c r="P56" s="66">
        <v>0</v>
      </c>
      <c r="Q56" s="66" t="s">
        <v>1371</v>
      </c>
    </row>
    <row r="57" spans="1:17" x14ac:dyDescent="0.25">
      <c r="A57" s="66">
        <v>54</v>
      </c>
      <c r="B57" s="476" t="s">
        <v>607</v>
      </c>
      <c r="C57" s="425" t="s">
        <v>607</v>
      </c>
      <c r="D57" s="422">
        <v>5</v>
      </c>
      <c r="E57" s="425" t="s">
        <v>609</v>
      </c>
      <c r="F57" s="425" t="s">
        <v>581</v>
      </c>
      <c r="G57" s="460">
        <v>42530</v>
      </c>
      <c r="H57" s="469">
        <v>208636</v>
      </c>
      <c r="I57" s="54">
        <v>1</v>
      </c>
      <c r="J57" s="54" t="s">
        <v>839</v>
      </c>
      <c r="K57" s="54" t="s">
        <v>610</v>
      </c>
      <c r="L57" s="54" t="s">
        <v>1597</v>
      </c>
      <c r="M57" s="54" t="s">
        <v>855</v>
      </c>
      <c r="N57" s="54">
        <v>1</v>
      </c>
      <c r="O57" s="54">
        <v>1</v>
      </c>
      <c r="P57" s="66">
        <v>0</v>
      </c>
      <c r="Q57" s="66" t="s">
        <v>1371</v>
      </c>
    </row>
    <row r="58" spans="1:17" x14ac:dyDescent="0.25">
      <c r="A58" s="66">
        <v>55</v>
      </c>
      <c r="B58" s="477"/>
      <c r="C58" s="426"/>
      <c r="D58" s="423"/>
      <c r="E58" s="426"/>
      <c r="F58" s="426"/>
      <c r="G58" s="461"/>
      <c r="H58" s="469"/>
      <c r="I58" s="54">
        <v>1</v>
      </c>
      <c r="J58" s="54" t="s">
        <v>838</v>
      </c>
      <c r="K58" s="54" t="s">
        <v>611</v>
      </c>
      <c r="L58" s="54" t="s">
        <v>1598</v>
      </c>
      <c r="M58" s="54" t="s">
        <v>855</v>
      </c>
      <c r="N58" s="54">
        <v>1</v>
      </c>
      <c r="O58" s="54">
        <v>1</v>
      </c>
      <c r="P58" s="66">
        <v>0</v>
      </c>
      <c r="Q58" s="66" t="s">
        <v>1371</v>
      </c>
    </row>
    <row r="59" spans="1:17" x14ac:dyDescent="0.25">
      <c r="A59" s="66">
        <v>56</v>
      </c>
      <c r="B59" s="477"/>
      <c r="C59" s="426"/>
      <c r="D59" s="423"/>
      <c r="E59" s="426"/>
      <c r="F59" s="426"/>
      <c r="G59" s="461"/>
      <c r="H59" s="469"/>
      <c r="I59" s="54">
        <v>1</v>
      </c>
      <c r="J59" s="54" t="s">
        <v>839</v>
      </c>
      <c r="K59" s="54" t="s">
        <v>612</v>
      </c>
      <c r="L59" s="54" t="s">
        <v>1599</v>
      </c>
      <c r="M59" s="54" t="s">
        <v>855</v>
      </c>
      <c r="N59" s="54">
        <v>1</v>
      </c>
      <c r="O59" s="54">
        <v>1</v>
      </c>
      <c r="P59" s="66">
        <v>0</v>
      </c>
      <c r="Q59" s="66" t="s">
        <v>1371</v>
      </c>
    </row>
    <row r="60" spans="1:17" x14ac:dyDescent="0.25">
      <c r="A60" s="66">
        <v>57</v>
      </c>
      <c r="B60" s="477"/>
      <c r="C60" s="426"/>
      <c r="D60" s="423"/>
      <c r="E60" s="426"/>
      <c r="F60" s="426"/>
      <c r="G60" s="461"/>
      <c r="H60" s="469"/>
      <c r="I60" s="54">
        <v>1</v>
      </c>
      <c r="J60" s="54" t="s">
        <v>839</v>
      </c>
      <c r="K60" s="54" t="s">
        <v>613</v>
      </c>
      <c r="L60" s="54" t="s">
        <v>1600</v>
      </c>
      <c r="M60" s="54" t="s">
        <v>855</v>
      </c>
      <c r="N60" s="54">
        <v>1</v>
      </c>
      <c r="O60" s="54">
        <v>1</v>
      </c>
      <c r="P60" s="66">
        <v>0</v>
      </c>
      <c r="Q60" s="66" t="s">
        <v>1371</v>
      </c>
    </row>
    <row r="61" spans="1:17" x14ac:dyDescent="0.25">
      <c r="A61" s="66">
        <v>58</v>
      </c>
      <c r="B61" s="477"/>
      <c r="C61" s="427"/>
      <c r="D61" s="424"/>
      <c r="E61" s="426"/>
      <c r="F61" s="426"/>
      <c r="G61" s="461"/>
      <c r="H61" s="469"/>
      <c r="I61" s="54">
        <v>1</v>
      </c>
      <c r="J61" s="54" t="s">
        <v>839</v>
      </c>
      <c r="K61" s="54" t="s">
        <v>614</v>
      </c>
      <c r="L61" s="54" t="s">
        <v>1601</v>
      </c>
      <c r="M61" s="54" t="s">
        <v>855</v>
      </c>
      <c r="N61" s="54">
        <v>1</v>
      </c>
      <c r="O61" s="54">
        <v>1</v>
      </c>
      <c r="P61" s="66">
        <v>0</v>
      </c>
      <c r="Q61" s="66" t="s">
        <v>1371</v>
      </c>
    </row>
    <row r="62" spans="1:17" x14ac:dyDescent="0.25">
      <c r="A62" s="66">
        <v>59</v>
      </c>
      <c r="B62" s="478"/>
      <c r="C62" s="54" t="s">
        <v>608</v>
      </c>
      <c r="D62" s="172">
        <v>1</v>
      </c>
      <c r="E62" s="427"/>
      <c r="F62" s="427"/>
      <c r="G62" s="462"/>
      <c r="H62" s="469"/>
      <c r="I62" s="54">
        <v>1</v>
      </c>
      <c r="J62" s="54" t="s">
        <v>839</v>
      </c>
      <c r="K62" s="54" t="s">
        <v>1399</v>
      </c>
      <c r="L62" s="54" t="s">
        <v>1602</v>
      </c>
      <c r="M62" s="54" t="s">
        <v>855</v>
      </c>
      <c r="N62" s="54">
        <v>1</v>
      </c>
      <c r="O62" s="54">
        <v>1</v>
      </c>
      <c r="P62" s="66">
        <v>0</v>
      </c>
      <c r="Q62" s="66" t="s">
        <v>1400</v>
      </c>
    </row>
    <row r="63" spans="1:17" x14ac:dyDescent="0.25">
      <c r="A63" s="66">
        <v>60</v>
      </c>
      <c r="B63" s="482" t="s">
        <v>615</v>
      </c>
      <c r="C63" s="425" t="s">
        <v>615</v>
      </c>
      <c r="D63" s="422">
        <v>18</v>
      </c>
      <c r="E63" s="425" t="s">
        <v>616</v>
      </c>
      <c r="F63" s="425" t="s">
        <v>617</v>
      </c>
      <c r="G63" s="425" t="s">
        <v>618</v>
      </c>
      <c r="H63" s="469">
        <v>42000</v>
      </c>
      <c r="I63" s="54">
        <v>1</v>
      </c>
      <c r="J63" s="54" t="s">
        <v>838</v>
      </c>
      <c r="K63" s="54" t="s">
        <v>619</v>
      </c>
      <c r="L63" s="54" t="s">
        <v>1603</v>
      </c>
      <c r="M63" s="54" t="s">
        <v>855</v>
      </c>
      <c r="N63" s="54">
        <v>1</v>
      </c>
      <c r="O63" s="54">
        <v>1</v>
      </c>
      <c r="P63" s="66">
        <v>0</v>
      </c>
      <c r="Q63" s="66" t="s">
        <v>1371</v>
      </c>
    </row>
    <row r="64" spans="1:17" x14ac:dyDescent="0.25">
      <c r="A64" s="66">
        <v>61</v>
      </c>
      <c r="B64" s="483"/>
      <c r="C64" s="426"/>
      <c r="D64" s="423"/>
      <c r="E64" s="426"/>
      <c r="F64" s="426"/>
      <c r="G64" s="426"/>
      <c r="H64" s="466"/>
      <c r="I64" s="54">
        <v>1</v>
      </c>
      <c r="J64" s="54" t="s">
        <v>838</v>
      </c>
      <c r="K64" s="54" t="s">
        <v>620</v>
      </c>
      <c r="L64" s="54" t="s">
        <v>1604</v>
      </c>
      <c r="M64" s="54" t="s">
        <v>855</v>
      </c>
      <c r="N64" s="54">
        <v>1</v>
      </c>
      <c r="O64" s="54">
        <v>1</v>
      </c>
      <c r="P64" s="66">
        <v>0</v>
      </c>
      <c r="Q64" s="66" t="s">
        <v>1371</v>
      </c>
    </row>
    <row r="65" spans="1:17" x14ac:dyDescent="0.25">
      <c r="A65" s="66">
        <v>62</v>
      </c>
      <c r="B65" s="483"/>
      <c r="C65" s="426"/>
      <c r="D65" s="423"/>
      <c r="E65" s="426"/>
      <c r="F65" s="426"/>
      <c r="G65" s="426"/>
      <c r="H65" s="466"/>
      <c r="I65" s="54">
        <v>1</v>
      </c>
      <c r="J65" s="54" t="s">
        <v>838</v>
      </c>
      <c r="K65" s="54" t="s">
        <v>621</v>
      </c>
      <c r="L65" s="54" t="s">
        <v>1605</v>
      </c>
      <c r="M65" s="54" t="s">
        <v>855</v>
      </c>
      <c r="N65" s="54">
        <v>1</v>
      </c>
      <c r="O65" s="54">
        <v>1</v>
      </c>
      <c r="P65" s="66">
        <v>0</v>
      </c>
      <c r="Q65" s="66" t="s">
        <v>1376</v>
      </c>
    </row>
    <row r="66" spans="1:17" x14ac:dyDescent="0.25">
      <c r="A66" s="66">
        <v>63</v>
      </c>
      <c r="B66" s="483"/>
      <c r="C66" s="426"/>
      <c r="D66" s="423"/>
      <c r="E66" s="427"/>
      <c r="F66" s="427"/>
      <c r="G66" s="427"/>
      <c r="H66" s="466"/>
      <c r="I66" s="54">
        <v>1</v>
      </c>
      <c r="J66" s="54" t="s">
        <v>838</v>
      </c>
      <c r="K66" s="54" t="s">
        <v>622</v>
      </c>
      <c r="L66" s="54" t="s">
        <v>1606</v>
      </c>
      <c r="M66" s="54" t="s">
        <v>855</v>
      </c>
      <c r="N66" s="54">
        <v>1</v>
      </c>
      <c r="O66" s="54">
        <v>1</v>
      </c>
      <c r="P66" s="66">
        <v>0</v>
      </c>
      <c r="Q66" s="66" t="s">
        <v>1376</v>
      </c>
    </row>
    <row r="67" spans="1:17" x14ac:dyDescent="0.25">
      <c r="A67" s="66">
        <v>64</v>
      </c>
      <c r="B67" s="483"/>
      <c r="C67" s="426"/>
      <c r="D67" s="423"/>
      <c r="E67" s="425" t="s">
        <v>623</v>
      </c>
      <c r="F67" s="425" t="s">
        <v>617</v>
      </c>
      <c r="G67" s="425" t="s">
        <v>627</v>
      </c>
      <c r="H67" s="139">
        <v>10500</v>
      </c>
      <c r="I67" s="54">
        <v>1</v>
      </c>
      <c r="J67" s="54" t="s">
        <v>838</v>
      </c>
      <c r="K67" s="54" t="s">
        <v>624</v>
      </c>
      <c r="L67" s="54" t="s">
        <v>1607</v>
      </c>
      <c r="M67" s="54" t="s">
        <v>855</v>
      </c>
      <c r="N67" s="54">
        <v>1</v>
      </c>
      <c r="O67" s="54">
        <v>1</v>
      </c>
      <c r="P67" s="66">
        <v>0</v>
      </c>
      <c r="Q67" s="66" t="s">
        <v>846</v>
      </c>
    </row>
    <row r="68" spans="1:17" x14ac:dyDescent="0.25">
      <c r="A68" s="66">
        <v>65</v>
      </c>
      <c r="B68" s="483"/>
      <c r="C68" s="426"/>
      <c r="D68" s="423"/>
      <c r="E68" s="426"/>
      <c r="F68" s="426"/>
      <c r="G68" s="426"/>
      <c r="H68" s="139">
        <v>10500</v>
      </c>
      <c r="I68" s="54">
        <v>1</v>
      </c>
      <c r="J68" s="54" t="s">
        <v>838</v>
      </c>
      <c r="K68" s="54" t="s">
        <v>625</v>
      </c>
      <c r="L68" s="54" t="s">
        <v>1608</v>
      </c>
      <c r="M68" s="54" t="s">
        <v>855</v>
      </c>
      <c r="N68" s="54">
        <v>1</v>
      </c>
      <c r="O68" s="54">
        <v>1</v>
      </c>
      <c r="P68" s="66">
        <v>0</v>
      </c>
      <c r="Q68" s="66" t="s">
        <v>1371</v>
      </c>
    </row>
    <row r="69" spans="1:17" x14ac:dyDescent="0.25">
      <c r="A69" s="66">
        <v>66</v>
      </c>
      <c r="B69" s="483"/>
      <c r="C69" s="426"/>
      <c r="D69" s="423"/>
      <c r="E69" s="426"/>
      <c r="F69" s="426"/>
      <c r="G69" s="426"/>
      <c r="H69" s="139">
        <v>10500</v>
      </c>
      <c r="I69" s="54">
        <v>1</v>
      </c>
      <c r="J69" s="54" t="s">
        <v>838</v>
      </c>
      <c r="K69" s="54" t="s">
        <v>1884</v>
      </c>
      <c r="L69" s="54" t="s">
        <v>1609</v>
      </c>
      <c r="M69" s="54" t="s">
        <v>855</v>
      </c>
      <c r="N69" s="54">
        <v>1</v>
      </c>
      <c r="O69" s="54">
        <v>1</v>
      </c>
      <c r="P69" s="66">
        <v>0</v>
      </c>
      <c r="Q69" s="66" t="s">
        <v>1371</v>
      </c>
    </row>
    <row r="70" spans="1:17" x14ac:dyDescent="0.25">
      <c r="A70" s="66">
        <v>67</v>
      </c>
      <c r="B70" s="483"/>
      <c r="C70" s="426"/>
      <c r="D70" s="423"/>
      <c r="E70" s="426"/>
      <c r="F70" s="426"/>
      <c r="G70" s="426"/>
      <c r="H70" s="139">
        <v>10500</v>
      </c>
      <c r="I70" s="54">
        <v>1</v>
      </c>
      <c r="J70" s="54" t="s">
        <v>838</v>
      </c>
      <c r="K70" s="54" t="s">
        <v>1885</v>
      </c>
      <c r="L70" s="54" t="s">
        <v>1610</v>
      </c>
      <c r="M70" s="54" t="s">
        <v>855</v>
      </c>
      <c r="N70" s="54">
        <v>1</v>
      </c>
      <c r="O70" s="54">
        <v>1</v>
      </c>
      <c r="P70" s="66">
        <v>0</v>
      </c>
      <c r="Q70" s="66" t="s">
        <v>846</v>
      </c>
    </row>
    <row r="71" spans="1:17" x14ac:dyDescent="0.25">
      <c r="A71" s="66">
        <v>68</v>
      </c>
      <c r="B71" s="483"/>
      <c r="C71" s="426"/>
      <c r="D71" s="423"/>
      <c r="E71" s="426"/>
      <c r="F71" s="426"/>
      <c r="G71" s="426"/>
      <c r="H71" s="139">
        <v>10500</v>
      </c>
      <c r="I71" s="54">
        <v>1</v>
      </c>
      <c r="J71" s="54" t="s">
        <v>838</v>
      </c>
      <c r="K71" s="54" t="s">
        <v>1886</v>
      </c>
      <c r="L71" s="54" t="s">
        <v>1611</v>
      </c>
      <c r="M71" s="54" t="s">
        <v>855</v>
      </c>
      <c r="N71" s="54">
        <v>1</v>
      </c>
      <c r="O71" s="54">
        <v>1</v>
      </c>
      <c r="P71" s="66">
        <v>0</v>
      </c>
      <c r="Q71" s="66" t="s">
        <v>1371</v>
      </c>
    </row>
    <row r="72" spans="1:17" ht="15" customHeight="1" x14ac:dyDescent="0.25">
      <c r="A72" s="66">
        <v>69</v>
      </c>
      <c r="B72" s="483"/>
      <c r="C72" s="426"/>
      <c r="D72" s="423"/>
      <c r="E72" s="427"/>
      <c r="F72" s="427"/>
      <c r="G72" s="427"/>
      <c r="H72" s="139">
        <v>10500</v>
      </c>
      <c r="I72" s="54">
        <v>1</v>
      </c>
      <c r="J72" s="54" t="s">
        <v>838</v>
      </c>
      <c r="K72" s="54" t="s">
        <v>626</v>
      </c>
      <c r="L72" s="54" t="s">
        <v>1612</v>
      </c>
      <c r="M72" s="54" t="s">
        <v>855</v>
      </c>
      <c r="N72" s="54">
        <v>1</v>
      </c>
      <c r="O72" s="54">
        <v>1</v>
      </c>
      <c r="P72" s="66">
        <v>0</v>
      </c>
      <c r="Q72" s="66" t="s">
        <v>1371</v>
      </c>
    </row>
    <row r="73" spans="1:17" x14ac:dyDescent="0.25">
      <c r="A73" s="66">
        <v>70</v>
      </c>
      <c r="B73" s="483"/>
      <c r="C73" s="426"/>
      <c r="D73" s="423"/>
      <c r="E73" s="425" t="s">
        <v>628</v>
      </c>
      <c r="F73" s="425" t="s">
        <v>617</v>
      </c>
      <c r="G73" s="425" t="s">
        <v>629</v>
      </c>
      <c r="H73" s="469">
        <v>87600</v>
      </c>
      <c r="I73" s="54">
        <v>1</v>
      </c>
      <c r="J73" s="54" t="s">
        <v>838</v>
      </c>
      <c r="K73" s="54" t="s">
        <v>630</v>
      </c>
      <c r="L73" s="326" t="s">
        <v>2289</v>
      </c>
      <c r="M73" s="54" t="s">
        <v>855</v>
      </c>
      <c r="N73" s="54">
        <v>1</v>
      </c>
      <c r="O73" s="54">
        <v>1</v>
      </c>
      <c r="P73" s="66">
        <v>0</v>
      </c>
      <c r="Q73" s="66" t="s">
        <v>1371</v>
      </c>
    </row>
    <row r="74" spans="1:17" x14ac:dyDescent="0.25">
      <c r="A74" s="66">
        <v>71</v>
      </c>
      <c r="B74" s="483"/>
      <c r="C74" s="426"/>
      <c r="D74" s="423"/>
      <c r="E74" s="426"/>
      <c r="F74" s="426"/>
      <c r="G74" s="426"/>
      <c r="H74" s="466"/>
      <c r="I74" s="54">
        <v>1</v>
      </c>
      <c r="J74" s="54" t="s">
        <v>838</v>
      </c>
      <c r="K74" s="54" t="s">
        <v>631</v>
      </c>
      <c r="L74" s="54" t="s">
        <v>1613</v>
      </c>
      <c r="M74" s="54" t="s">
        <v>855</v>
      </c>
      <c r="N74" s="54">
        <v>1</v>
      </c>
      <c r="O74" s="54">
        <v>1</v>
      </c>
      <c r="P74" s="66">
        <v>0</v>
      </c>
      <c r="Q74" s="66" t="s">
        <v>1371</v>
      </c>
    </row>
    <row r="75" spans="1:17" x14ac:dyDescent="0.25">
      <c r="A75" s="66">
        <v>72</v>
      </c>
      <c r="B75" s="483"/>
      <c r="C75" s="426"/>
      <c r="D75" s="423"/>
      <c r="E75" s="426"/>
      <c r="F75" s="426"/>
      <c r="G75" s="426"/>
      <c r="H75" s="466"/>
      <c r="I75" s="54">
        <v>1</v>
      </c>
      <c r="J75" s="54" t="s">
        <v>838</v>
      </c>
      <c r="K75" s="54" t="s">
        <v>632</v>
      </c>
      <c r="L75" s="54" t="s">
        <v>1614</v>
      </c>
      <c r="M75" s="54" t="s">
        <v>855</v>
      </c>
      <c r="N75" s="54">
        <v>1</v>
      </c>
      <c r="O75" s="54">
        <v>1</v>
      </c>
      <c r="P75" s="66">
        <v>0</v>
      </c>
      <c r="Q75" s="66" t="s">
        <v>1371</v>
      </c>
    </row>
    <row r="76" spans="1:17" x14ac:dyDescent="0.25">
      <c r="A76" s="66">
        <v>73</v>
      </c>
      <c r="B76" s="483"/>
      <c r="C76" s="426"/>
      <c r="D76" s="423"/>
      <c r="E76" s="426"/>
      <c r="F76" s="426"/>
      <c r="G76" s="426"/>
      <c r="H76" s="466"/>
      <c r="I76" s="54">
        <v>1</v>
      </c>
      <c r="J76" s="54" t="s">
        <v>838</v>
      </c>
      <c r="K76" s="54" t="s">
        <v>633</v>
      </c>
      <c r="L76" s="54" t="s">
        <v>1615</v>
      </c>
      <c r="M76" s="54" t="s">
        <v>855</v>
      </c>
      <c r="N76" s="54">
        <v>1</v>
      </c>
      <c r="O76" s="54">
        <v>1</v>
      </c>
      <c r="P76" s="66">
        <v>0</v>
      </c>
      <c r="Q76" s="66" t="s">
        <v>1371</v>
      </c>
    </row>
    <row r="77" spans="1:17" x14ac:dyDescent="0.25">
      <c r="A77" s="66">
        <v>74</v>
      </c>
      <c r="B77" s="483"/>
      <c r="C77" s="426"/>
      <c r="D77" s="423"/>
      <c r="E77" s="426"/>
      <c r="F77" s="426"/>
      <c r="G77" s="426"/>
      <c r="H77" s="466"/>
      <c r="I77" s="54">
        <v>1</v>
      </c>
      <c r="J77" s="54" t="s">
        <v>838</v>
      </c>
      <c r="K77" s="54" t="s">
        <v>634</v>
      </c>
      <c r="L77" s="54" t="s">
        <v>1616</v>
      </c>
      <c r="M77" s="54" t="s">
        <v>855</v>
      </c>
      <c r="N77" s="54">
        <v>1</v>
      </c>
      <c r="O77" s="54">
        <v>1</v>
      </c>
      <c r="P77" s="66">
        <v>0</v>
      </c>
      <c r="Q77" s="66" t="s">
        <v>1371</v>
      </c>
    </row>
    <row r="78" spans="1:17" x14ac:dyDescent="0.25">
      <c r="A78" s="66">
        <v>75</v>
      </c>
      <c r="B78" s="483"/>
      <c r="C78" s="426"/>
      <c r="D78" s="423"/>
      <c r="E78" s="426"/>
      <c r="F78" s="426"/>
      <c r="G78" s="426"/>
      <c r="H78" s="466"/>
      <c r="I78" s="54">
        <v>1</v>
      </c>
      <c r="J78" s="54" t="s">
        <v>838</v>
      </c>
      <c r="K78" s="54" t="s">
        <v>635</v>
      </c>
      <c r="L78" s="54" t="s">
        <v>1617</v>
      </c>
      <c r="M78" s="54" t="s">
        <v>855</v>
      </c>
      <c r="N78" s="54">
        <v>1</v>
      </c>
      <c r="O78" s="54">
        <v>1</v>
      </c>
      <c r="P78" s="66">
        <v>0</v>
      </c>
      <c r="Q78" s="66" t="s">
        <v>1371</v>
      </c>
    </row>
    <row r="79" spans="1:17" x14ac:dyDescent="0.25">
      <c r="A79" s="66">
        <v>76</v>
      </c>
      <c r="B79" s="483"/>
      <c r="C79" s="426"/>
      <c r="D79" s="423"/>
      <c r="E79" s="426"/>
      <c r="F79" s="426"/>
      <c r="G79" s="426"/>
      <c r="H79" s="466"/>
      <c r="I79" s="54">
        <v>1</v>
      </c>
      <c r="J79" s="54" t="s">
        <v>838</v>
      </c>
      <c r="K79" s="54" t="s">
        <v>636</v>
      </c>
      <c r="L79" s="54" t="s">
        <v>1618</v>
      </c>
      <c r="M79" s="54" t="s">
        <v>855</v>
      </c>
      <c r="N79" s="54">
        <v>1</v>
      </c>
      <c r="O79" s="54">
        <v>1</v>
      </c>
      <c r="P79" s="66">
        <v>0</v>
      </c>
      <c r="Q79" s="66" t="s">
        <v>847</v>
      </c>
    </row>
    <row r="80" spans="1:17" x14ac:dyDescent="0.25">
      <c r="A80" s="66">
        <v>77</v>
      </c>
      <c r="B80" s="484"/>
      <c r="C80" s="427"/>
      <c r="D80" s="424"/>
      <c r="E80" s="427"/>
      <c r="F80" s="427"/>
      <c r="G80" s="427"/>
      <c r="H80" s="466"/>
      <c r="I80" s="54">
        <v>1</v>
      </c>
      <c r="J80" s="54" t="s">
        <v>838</v>
      </c>
      <c r="K80" s="54" t="s">
        <v>637</v>
      </c>
      <c r="L80" s="54" t="s">
        <v>1619</v>
      </c>
      <c r="M80" s="54" t="s">
        <v>855</v>
      </c>
      <c r="N80" s="54">
        <v>1</v>
      </c>
      <c r="O80" s="54">
        <v>1</v>
      </c>
      <c r="P80" s="66">
        <v>0</v>
      </c>
      <c r="Q80" s="66" t="s">
        <v>1371</v>
      </c>
    </row>
    <row r="81" spans="1:17" x14ac:dyDescent="0.25">
      <c r="A81" s="66">
        <v>78</v>
      </c>
      <c r="B81" s="438" t="s">
        <v>638</v>
      </c>
      <c r="C81" s="425" t="s">
        <v>638</v>
      </c>
      <c r="D81" s="422">
        <v>14</v>
      </c>
      <c r="E81" s="425" t="s">
        <v>639</v>
      </c>
      <c r="F81" s="425" t="s">
        <v>617</v>
      </c>
      <c r="G81" s="425" t="s">
        <v>640</v>
      </c>
      <c r="H81" s="139">
        <v>19914.41</v>
      </c>
      <c r="I81" s="54">
        <v>1</v>
      </c>
      <c r="J81" s="54" t="s">
        <v>838</v>
      </c>
      <c r="K81" s="54" t="s">
        <v>646</v>
      </c>
      <c r="L81" s="54" t="s">
        <v>1620</v>
      </c>
      <c r="M81" s="54" t="s">
        <v>855</v>
      </c>
      <c r="N81" s="54">
        <v>1</v>
      </c>
      <c r="O81" s="54">
        <v>1</v>
      </c>
      <c r="P81" s="66">
        <v>0</v>
      </c>
      <c r="Q81" s="66" t="s">
        <v>1371</v>
      </c>
    </row>
    <row r="82" spans="1:17" x14ac:dyDescent="0.25">
      <c r="A82" s="66">
        <v>79</v>
      </c>
      <c r="B82" s="439"/>
      <c r="C82" s="426"/>
      <c r="D82" s="423"/>
      <c r="E82" s="426"/>
      <c r="F82" s="426"/>
      <c r="G82" s="426"/>
      <c r="H82" s="139">
        <v>19914.41</v>
      </c>
      <c r="I82" s="54">
        <v>1</v>
      </c>
      <c r="J82" s="54" t="s">
        <v>838</v>
      </c>
      <c r="K82" s="54" t="s">
        <v>647</v>
      </c>
      <c r="L82" s="54" t="s">
        <v>1621</v>
      </c>
      <c r="M82" s="54" t="s">
        <v>855</v>
      </c>
      <c r="N82" s="54">
        <v>1</v>
      </c>
      <c r="O82" s="54">
        <v>1</v>
      </c>
      <c r="P82" s="66">
        <v>0</v>
      </c>
      <c r="Q82" s="66" t="s">
        <v>1371</v>
      </c>
    </row>
    <row r="83" spans="1:17" x14ac:dyDescent="0.25">
      <c r="A83" s="66">
        <v>80</v>
      </c>
      <c r="B83" s="439"/>
      <c r="C83" s="426"/>
      <c r="D83" s="423"/>
      <c r="E83" s="426"/>
      <c r="F83" s="426"/>
      <c r="G83" s="426"/>
      <c r="H83" s="139">
        <v>19914.41</v>
      </c>
      <c r="I83" s="54">
        <v>1</v>
      </c>
      <c r="J83" s="54" t="s">
        <v>838</v>
      </c>
      <c r="K83" s="54" t="s">
        <v>648</v>
      </c>
      <c r="L83" s="54" t="s">
        <v>1622</v>
      </c>
      <c r="M83" s="54" t="s">
        <v>855</v>
      </c>
      <c r="N83" s="54">
        <v>1</v>
      </c>
      <c r="O83" s="54">
        <v>1</v>
      </c>
      <c r="P83" s="66">
        <v>0</v>
      </c>
      <c r="Q83" s="66" t="s">
        <v>1371</v>
      </c>
    </row>
    <row r="84" spans="1:17" x14ac:dyDescent="0.25">
      <c r="A84" s="66">
        <v>81</v>
      </c>
      <c r="B84" s="439"/>
      <c r="C84" s="426"/>
      <c r="D84" s="423"/>
      <c r="E84" s="426"/>
      <c r="F84" s="426"/>
      <c r="G84" s="426"/>
      <c r="H84" s="139">
        <v>19914.41</v>
      </c>
      <c r="I84" s="54">
        <v>1</v>
      </c>
      <c r="J84" s="54" t="s">
        <v>838</v>
      </c>
      <c r="K84" s="54" t="s">
        <v>649</v>
      </c>
      <c r="L84" s="54" t="s">
        <v>1623</v>
      </c>
      <c r="M84" s="54" t="s">
        <v>855</v>
      </c>
      <c r="N84" s="54">
        <v>1</v>
      </c>
      <c r="O84" s="54">
        <v>1</v>
      </c>
      <c r="P84" s="66">
        <v>0</v>
      </c>
      <c r="Q84" s="66" t="s">
        <v>1371</v>
      </c>
    </row>
    <row r="85" spans="1:17" x14ac:dyDescent="0.25">
      <c r="A85" s="66">
        <v>82</v>
      </c>
      <c r="B85" s="439"/>
      <c r="C85" s="426"/>
      <c r="D85" s="423"/>
      <c r="E85" s="426"/>
      <c r="F85" s="426"/>
      <c r="G85" s="426"/>
      <c r="H85" s="139">
        <v>19914.41</v>
      </c>
      <c r="I85" s="54">
        <v>1</v>
      </c>
      <c r="J85" s="54" t="s">
        <v>838</v>
      </c>
      <c r="K85" s="54" t="s">
        <v>650</v>
      </c>
      <c r="L85" s="54" t="s">
        <v>1624</v>
      </c>
      <c r="M85" s="54" t="s">
        <v>855</v>
      </c>
      <c r="N85" s="54">
        <v>1</v>
      </c>
      <c r="O85" s="54">
        <v>1</v>
      </c>
      <c r="P85" s="66">
        <v>0</v>
      </c>
      <c r="Q85" s="66" t="s">
        <v>1371</v>
      </c>
    </row>
    <row r="86" spans="1:17" x14ac:dyDescent="0.25">
      <c r="A86" s="66">
        <v>83</v>
      </c>
      <c r="B86" s="439"/>
      <c r="C86" s="426"/>
      <c r="D86" s="423"/>
      <c r="E86" s="426"/>
      <c r="F86" s="426"/>
      <c r="G86" s="426"/>
      <c r="H86" s="139">
        <v>19914.41</v>
      </c>
      <c r="I86" s="54">
        <v>1</v>
      </c>
      <c r="J86" s="54" t="s">
        <v>838</v>
      </c>
      <c r="K86" s="54" t="s">
        <v>651</v>
      </c>
      <c r="L86" s="54" t="s">
        <v>1625</v>
      </c>
      <c r="M86" s="54" t="s">
        <v>855</v>
      </c>
      <c r="N86" s="54">
        <v>1</v>
      </c>
      <c r="O86" s="54">
        <v>1</v>
      </c>
      <c r="P86" s="66">
        <v>0</v>
      </c>
      <c r="Q86" s="66" t="s">
        <v>1371</v>
      </c>
    </row>
    <row r="87" spans="1:17" x14ac:dyDescent="0.25">
      <c r="A87" s="66">
        <v>84</v>
      </c>
      <c r="B87" s="439"/>
      <c r="C87" s="426"/>
      <c r="D87" s="423"/>
      <c r="E87" s="426"/>
      <c r="F87" s="426"/>
      <c r="G87" s="426"/>
      <c r="H87" s="139">
        <v>19914.41</v>
      </c>
      <c r="I87" s="54">
        <v>1</v>
      </c>
      <c r="J87" s="54" t="s">
        <v>838</v>
      </c>
      <c r="K87" s="54" t="s">
        <v>652</v>
      </c>
      <c r="L87" s="54" t="s">
        <v>1626</v>
      </c>
      <c r="M87" s="54" t="s">
        <v>855</v>
      </c>
      <c r="N87" s="54">
        <v>1</v>
      </c>
      <c r="O87" s="54">
        <v>1</v>
      </c>
      <c r="P87" s="66">
        <v>0</v>
      </c>
      <c r="Q87" s="66" t="s">
        <v>1371</v>
      </c>
    </row>
    <row r="88" spans="1:17" x14ac:dyDescent="0.25">
      <c r="A88" s="66">
        <v>85</v>
      </c>
      <c r="B88" s="439"/>
      <c r="C88" s="426"/>
      <c r="D88" s="423"/>
      <c r="E88" s="427"/>
      <c r="F88" s="427"/>
      <c r="G88" s="427"/>
      <c r="H88" s="139">
        <v>19914.41</v>
      </c>
      <c r="I88" s="54">
        <v>1</v>
      </c>
      <c r="J88" s="54" t="s">
        <v>838</v>
      </c>
      <c r="K88" s="54" t="s">
        <v>653</v>
      </c>
      <c r="L88" s="54" t="s">
        <v>1627</v>
      </c>
      <c r="M88" s="54" t="s">
        <v>855</v>
      </c>
      <c r="N88" s="54">
        <v>1</v>
      </c>
      <c r="O88" s="54">
        <v>1</v>
      </c>
      <c r="P88" s="66">
        <v>0</v>
      </c>
      <c r="Q88" s="66" t="s">
        <v>1371</v>
      </c>
    </row>
    <row r="89" spans="1:17" x14ac:dyDescent="0.25">
      <c r="A89" s="66">
        <v>86</v>
      </c>
      <c r="B89" s="439"/>
      <c r="C89" s="426"/>
      <c r="D89" s="423"/>
      <c r="E89" s="425" t="s">
        <v>641</v>
      </c>
      <c r="F89" s="425" t="s">
        <v>617</v>
      </c>
      <c r="G89" s="425" t="s">
        <v>642</v>
      </c>
      <c r="H89" s="62">
        <v>20338</v>
      </c>
      <c r="I89" s="54">
        <v>1</v>
      </c>
      <c r="J89" s="54" t="s">
        <v>838</v>
      </c>
      <c r="K89" s="54" t="s">
        <v>654</v>
      </c>
      <c r="L89" s="54" t="s">
        <v>1628</v>
      </c>
      <c r="M89" s="54" t="s">
        <v>855</v>
      </c>
      <c r="N89" s="54">
        <v>1</v>
      </c>
      <c r="O89" s="54">
        <v>1</v>
      </c>
      <c r="P89" s="66">
        <v>0</v>
      </c>
      <c r="Q89" s="66" t="s">
        <v>1371</v>
      </c>
    </row>
    <row r="90" spans="1:17" x14ac:dyDescent="0.25">
      <c r="A90" s="66">
        <v>87</v>
      </c>
      <c r="B90" s="439"/>
      <c r="C90" s="426"/>
      <c r="D90" s="423"/>
      <c r="E90" s="426"/>
      <c r="F90" s="426"/>
      <c r="G90" s="426"/>
      <c r="H90" s="62">
        <v>20338</v>
      </c>
      <c r="I90" s="54">
        <v>1</v>
      </c>
      <c r="J90" s="54" t="s">
        <v>838</v>
      </c>
      <c r="K90" s="54" t="s">
        <v>655</v>
      </c>
      <c r="L90" s="54" t="s">
        <v>1629</v>
      </c>
      <c r="M90" s="54" t="s">
        <v>855</v>
      </c>
      <c r="N90" s="54">
        <v>1</v>
      </c>
      <c r="O90" s="54">
        <v>1</v>
      </c>
      <c r="P90" s="66">
        <v>0</v>
      </c>
      <c r="Q90" s="66" t="s">
        <v>1371</v>
      </c>
    </row>
    <row r="91" spans="1:17" x14ac:dyDescent="0.25">
      <c r="A91" s="66">
        <v>88</v>
      </c>
      <c r="B91" s="439"/>
      <c r="C91" s="426"/>
      <c r="D91" s="423"/>
      <c r="E91" s="426"/>
      <c r="F91" s="426"/>
      <c r="G91" s="426"/>
      <c r="H91" s="62">
        <v>20338</v>
      </c>
      <c r="I91" s="54">
        <v>1</v>
      </c>
      <c r="J91" s="54" t="s">
        <v>838</v>
      </c>
      <c r="K91" s="54" t="s">
        <v>656</v>
      </c>
      <c r="L91" s="54" t="s">
        <v>1630</v>
      </c>
      <c r="M91" s="54" t="s">
        <v>855</v>
      </c>
      <c r="N91" s="54">
        <v>1</v>
      </c>
      <c r="O91" s="54">
        <v>1</v>
      </c>
      <c r="P91" s="66">
        <v>0</v>
      </c>
      <c r="Q91" s="66" t="s">
        <v>844</v>
      </c>
    </row>
    <row r="92" spans="1:17" x14ac:dyDescent="0.25">
      <c r="A92" s="66">
        <v>89</v>
      </c>
      <c r="B92" s="439"/>
      <c r="C92" s="426"/>
      <c r="D92" s="423"/>
      <c r="E92" s="426"/>
      <c r="F92" s="426"/>
      <c r="G92" s="426"/>
      <c r="H92" s="62">
        <v>20338</v>
      </c>
      <c r="I92" s="54">
        <v>1</v>
      </c>
      <c r="J92" s="54" t="s">
        <v>838</v>
      </c>
      <c r="K92" s="54" t="s">
        <v>657</v>
      </c>
      <c r="L92" s="54" t="s">
        <v>1631</v>
      </c>
      <c r="M92" s="54" t="s">
        <v>855</v>
      </c>
      <c r="N92" s="54">
        <v>1</v>
      </c>
      <c r="O92" s="54">
        <v>1</v>
      </c>
      <c r="P92" s="66">
        <v>0</v>
      </c>
      <c r="Q92" s="66" t="s">
        <v>844</v>
      </c>
    </row>
    <row r="93" spans="1:17" x14ac:dyDescent="0.25">
      <c r="A93" s="66">
        <v>90</v>
      </c>
      <c r="B93" s="439"/>
      <c r="C93" s="426"/>
      <c r="D93" s="423"/>
      <c r="E93" s="426"/>
      <c r="F93" s="426"/>
      <c r="G93" s="426"/>
      <c r="H93" s="62">
        <v>20338</v>
      </c>
      <c r="I93" s="54">
        <v>1</v>
      </c>
      <c r="J93" s="54" t="s">
        <v>838</v>
      </c>
      <c r="K93" s="54" t="s">
        <v>658</v>
      </c>
      <c r="L93" s="54" t="s">
        <v>1632</v>
      </c>
      <c r="M93" s="54" t="s">
        <v>855</v>
      </c>
      <c r="N93" s="54">
        <v>1</v>
      </c>
      <c r="O93" s="54">
        <v>1</v>
      </c>
      <c r="P93" s="66">
        <v>0</v>
      </c>
      <c r="Q93" s="66" t="s">
        <v>845</v>
      </c>
    </row>
    <row r="94" spans="1:17" x14ac:dyDescent="0.25">
      <c r="A94" s="66">
        <v>91</v>
      </c>
      <c r="B94" s="440"/>
      <c r="C94" s="427"/>
      <c r="D94" s="424"/>
      <c r="E94" s="427"/>
      <c r="F94" s="427"/>
      <c r="G94" s="427"/>
      <c r="H94" s="62">
        <v>20338</v>
      </c>
      <c r="I94" s="54">
        <v>1</v>
      </c>
      <c r="J94" s="54" t="s">
        <v>838</v>
      </c>
      <c r="K94" s="54" t="s">
        <v>659</v>
      </c>
      <c r="L94" s="54" t="s">
        <v>1633</v>
      </c>
      <c r="M94" s="54" t="s">
        <v>855</v>
      </c>
      <c r="N94" s="54">
        <v>1</v>
      </c>
      <c r="O94" s="54">
        <v>1</v>
      </c>
      <c r="P94" s="66">
        <v>0</v>
      </c>
      <c r="Q94" s="66" t="s">
        <v>844</v>
      </c>
    </row>
    <row r="95" spans="1:17" s="68" customFormat="1" x14ac:dyDescent="0.25">
      <c r="A95" s="66">
        <v>92</v>
      </c>
      <c r="B95" s="437" t="s">
        <v>643</v>
      </c>
      <c r="C95" s="464" t="s">
        <v>643</v>
      </c>
      <c r="D95" s="422">
        <v>10</v>
      </c>
      <c r="E95" s="425" t="s">
        <v>1883</v>
      </c>
      <c r="F95" s="425" t="s">
        <v>644</v>
      </c>
      <c r="G95" s="425" t="s">
        <v>645</v>
      </c>
      <c r="H95" s="469">
        <v>350010</v>
      </c>
      <c r="I95" s="54">
        <v>1</v>
      </c>
      <c r="J95" s="54" t="s">
        <v>838</v>
      </c>
      <c r="K95" s="54">
        <v>3208373955</v>
      </c>
      <c r="L95" s="54" t="s">
        <v>1634</v>
      </c>
      <c r="M95" s="54" t="s">
        <v>855</v>
      </c>
      <c r="N95" s="54">
        <v>1</v>
      </c>
      <c r="O95" s="54">
        <v>1</v>
      </c>
      <c r="P95" s="66">
        <v>0</v>
      </c>
      <c r="Q95" s="66" t="s">
        <v>844</v>
      </c>
    </row>
    <row r="96" spans="1:17" s="68" customFormat="1" x14ac:dyDescent="0.25">
      <c r="A96" s="66">
        <v>93</v>
      </c>
      <c r="B96" s="437"/>
      <c r="C96" s="464"/>
      <c r="D96" s="423"/>
      <c r="E96" s="426"/>
      <c r="F96" s="426"/>
      <c r="G96" s="426"/>
      <c r="H96" s="469"/>
      <c r="I96" s="54">
        <v>1</v>
      </c>
      <c r="J96" s="54" t="s">
        <v>838</v>
      </c>
      <c r="K96" s="54">
        <v>3203441129</v>
      </c>
      <c r="L96" s="54" t="s">
        <v>1635</v>
      </c>
      <c r="M96" s="54" t="s">
        <v>855</v>
      </c>
      <c r="N96" s="54">
        <v>1</v>
      </c>
      <c r="O96" s="54">
        <v>1</v>
      </c>
      <c r="P96" s="66">
        <v>0</v>
      </c>
      <c r="Q96" s="66" t="s">
        <v>844</v>
      </c>
    </row>
    <row r="97" spans="1:17" s="68" customFormat="1" x14ac:dyDescent="0.25">
      <c r="A97" s="66">
        <v>94</v>
      </c>
      <c r="B97" s="437"/>
      <c r="C97" s="464"/>
      <c r="D97" s="423"/>
      <c r="E97" s="426"/>
      <c r="F97" s="426"/>
      <c r="G97" s="426"/>
      <c r="H97" s="469"/>
      <c r="I97" s="54">
        <v>1</v>
      </c>
      <c r="J97" s="54" t="s">
        <v>838</v>
      </c>
      <c r="K97" s="54">
        <v>3206203405</v>
      </c>
      <c r="L97" s="54" t="s">
        <v>1636</v>
      </c>
      <c r="M97" s="54" t="s">
        <v>855</v>
      </c>
      <c r="N97" s="54">
        <v>1</v>
      </c>
      <c r="O97" s="54">
        <v>1</v>
      </c>
      <c r="P97" s="66">
        <v>0</v>
      </c>
      <c r="Q97" s="66" t="s">
        <v>845</v>
      </c>
    </row>
    <row r="98" spans="1:17" s="68" customFormat="1" x14ac:dyDescent="0.25">
      <c r="A98" s="66">
        <v>95</v>
      </c>
      <c r="B98" s="437"/>
      <c r="C98" s="464"/>
      <c r="D98" s="423"/>
      <c r="E98" s="426"/>
      <c r="F98" s="426"/>
      <c r="G98" s="426"/>
      <c r="H98" s="469"/>
      <c r="I98" s="54">
        <v>1</v>
      </c>
      <c r="J98" s="54" t="s">
        <v>838</v>
      </c>
      <c r="K98" s="54">
        <v>3205469832</v>
      </c>
      <c r="L98" s="54" t="s">
        <v>1637</v>
      </c>
      <c r="M98" s="54" t="s">
        <v>855</v>
      </c>
      <c r="N98" s="54">
        <v>1</v>
      </c>
      <c r="O98" s="54">
        <v>1</v>
      </c>
      <c r="P98" s="66">
        <v>0</v>
      </c>
      <c r="Q98" s="66" t="s">
        <v>844</v>
      </c>
    </row>
    <row r="99" spans="1:17" s="68" customFormat="1" x14ac:dyDescent="0.25">
      <c r="A99" s="66">
        <v>96</v>
      </c>
      <c r="B99" s="437"/>
      <c r="C99" s="464"/>
      <c r="D99" s="423"/>
      <c r="E99" s="426"/>
      <c r="F99" s="426"/>
      <c r="G99" s="426"/>
      <c r="H99" s="469"/>
      <c r="I99" s="54">
        <v>1</v>
      </c>
      <c r="J99" s="54" t="s">
        <v>838</v>
      </c>
      <c r="K99" s="54">
        <v>3205013372</v>
      </c>
      <c r="L99" s="54" t="s">
        <v>1638</v>
      </c>
      <c r="M99" s="54" t="s">
        <v>855</v>
      </c>
      <c r="N99" s="54">
        <v>1</v>
      </c>
      <c r="O99" s="54">
        <v>1</v>
      </c>
      <c r="P99" s="66">
        <v>0</v>
      </c>
      <c r="Q99" s="66" t="s">
        <v>844</v>
      </c>
    </row>
    <row r="100" spans="1:17" s="68" customFormat="1" x14ac:dyDescent="0.25">
      <c r="A100" s="66">
        <v>97</v>
      </c>
      <c r="B100" s="437"/>
      <c r="C100" s="464"/>
      <c r="D100" s="423"/>
      <c r="E100" s="426"/>
      <c r="F100" s="426"/>
      <c r="G100" s="426"/>
      <c r="H100" s="469"/>
      <c r="I100" s="54">
        <v>1</v>
      </c>
      <c r="J100" s="54" t="s">
        <v>838</v>
      </c>
      <c r="K100" s="54">
        <v>3201097419</v>
      </c>
      <c r="L100" s="54" t="s">
        <v>1639</v>
      </c>
      <c r="M100" s="54" t="s">
        <v>855</v>
      </c>
      <c r="N100" s="54">
        <v>1</v>
      </c>
      <c r="O100" s="54">
        <v>1</v>
      </c>
      <c r="P100" s="66">
        <v>0</v>
      </c>
      <c r="Q100" s="66" t="s">
        <v>848</v>
      </c>
    </row>
    <row r="101" spans="1:17" s="68" customFormat="1" x14ac:dyDescent="0.25">
      <c r="A101" s="66">
        <v>98</v>
      </c>
      <c r="B101" s="437"/>
      <c r="C101" s="464"/>
      <c r="D101" s="423"/>
      <c r="E101" s="426"/>
      <c r="F101" s="426"/>
      <c r="G101" s="426"/>
      <c r="H101" s="469"/>
      <c r="I101" s="54">
        <v>1</v>
      </c>
      <c r="J101" s="54" t="s">
        <v>838</v>
      </c>
      <c r="K101" s="54">
        <v>3201945431</v>
      </c>
      <c r="L101" s="54" t="s">
        <v>1640</v>
      </c>
      <c r="M101" s="54" t="s">
        <v>855</v>
      </c>
      <c r="N101" s="54">
        <v>1</v>
      </c>
      <c r="O101" s="54">
        <v>1</v>
      </c>
      <c r="P101" s="66">
        <v>0</v>
      </c>
      <c r="Q101" s="66" t="s">
        <v>847</v>
      </c>
    </row>
    <row r="102" spans="1:17" s="68" customFormat="1" x14ac:dyDescent="0.25">
      <c r="A102" s="66">
        <v>99</v>
      </c>
      <c r="B102" s="437"/>
      <c r="C102" s="464"/>
      <c r="D102" s="423"/>
      <c r="E102" s="426"/>
      <c r="F102" s="426"/>
      <c r="G102" s="426"/>
      <c r="H102" s="469"/>
      <c r="I102" s="54">
        <v>1</v>
      </c>
      <c r="J102" s="54" t="s">
        <v>838</v>
      </c>
      <c r="K102" s="54">
        <v>3207937960</v>
      </c>
      <c r="L102" s="54" t="s">
        <v>1641</v>
      </c>
      <c r="M102" s="54" t="s">
        <v>855</v>
      </c>
      <c r="N102" s="54">
        <v>1</v>
      </c>
      <c r="O102" s="54">
        <v>1</v>
      </c>
      <c r="P102" s="66">
        <v>0</v>
      </c>
      <c r="Q102" s="66" t="s">
        <v>848</v>
      </c>
    </row>
    <row r="103" spans="1:17" s="68" customFormat="1" x14ac:dyDescent="0.25">
      <c r="A103" s="66">
        <v>100</v>
      </c>
      <c r="B103" s="437"/>
      <c r="C103" s="464"/>
      <c r="D103" s="423"/>
      <c r="E103" s="426"/>
      <c r="F103" s="426"/>
      <c r="G103" s="426"/>
      <c r="H103" s="469"/>
      <c r="I103" s="54">
        <v>1</v>
      </c>
      <c r="J103" s="54" t="s">
        <v>838</v>
      </c>
      <c r="K103" s="54">
        <v>3201425373</v>
      </c>
      <c r="L103" s="54" t="s">
        <v>1642</v>
      </c>
      <c r="M103" s="54" t="s">
        <v>855</v>
      </c>
      <c r="N103" s="54">
        <v>1</v>
      </c>
      <c r="O103" s="54">
        <v>1</v>
      </c>
      <c r="P103" s="66">
        <v>0</v>
      </c>
      <c r="Q103" s="66" t="s">
        <v>849</v>
      </c>
    </row>
    <row r="104" spans="1:17" s="68" customFormat="1" x14ac:dyDescent="0.25">
      <c r="A104" s="66">
        <v>101</v>
      </c>
      <c r="B104" s="437"/>
      <c r="C104" s="464"/>
      <c r="D104" s="424"/>
      <c r="E104" s="427"/>
      <c r="F104" s="427"/>
      <c r="G104" s="427"/>
      <c r="H104" s="469"/>
      <c r="I104" s="54">
        <v>1</v>
      </c>
      <c r="J104" s="54" t="s">
        <v>838</v>
      </c>
      <c r="K104" s="54">
        <v>3208863498</v>
      </c>
      <c r="L104" s="54" t="s">
        <v>1643</v>
      </c>
      <c r="M104" s="54" t="s">
        <v>855</v>
      </c>
      <c r="N104" s="54">
        <v>1</v>
      </c>
      <c r="O104" s="54">
        <v>1</v>
      </c>
      <c r="P104" s="66">
        <v>0</v>
      </c>
      <c r="Q104" s="66" t="s">
        <v>353</v>
      </c>
    </row>
    <row r="105" spans="1:17" s="68" customFormat="1" x14ac:dyDescent="0.25">
      <c r="A105" s="66">
        <v>102</v>
      </c>
      <c r="B105" s="479" t="s">
        <v>990</v>
      </c>
      <c r="C105" s="425" t="s">
        <v>989</v>
      </c>
      <c r="D105" s="422">
        <v>4</v>
      </c>
      <c r="E105" s="425" t="s">
        <v>1026</v>
      </c>
      <c r="F105" s="425" t="s">
        <v>1105</v>
      </c>
      <c r="G105" s="425" t="s">
        <v>1106</v>
      </c>
      <c r="H105" s="473">
        <v>639356</v>
      </c>
      <c r="I105" s="54">
        <v>1</v>
      </c>
      <c r="J105" s="54" t="s">
        <v>838</v>
      </c>
      <c r="K105" s="136">
        <v>302940100340</v>
      </c>
      <c r="L105" s="136" t="s">
        <v>1644</v>
      </c>
      <c r="M105" s="54" t="s">
        <v>855</v>
      </c>
      <c r="N105" s="54">
        <v>1</v>
      </c>
      <c r="O105" s="54">
        <v>1</v>
      </c>
      <c r="P105" s="54">
        <v>0</v>
      </c>
      <c r="Q105" s="54" t="s">
        <v>841</v>
      </c>
    </row>
    <row r="106" spans="1:17" s="68" customFormat="1" x14ac:dyDescent="0.25">
      <c r="A106" s="66">
        <v>103</v>
      </c>
      <c r="B106" s="480"/>
      <c r="C106" s="426"/>
      <c r="D106" s="423"/>
      <c r="E106" s="426"/>
      <c r="F106" s="426"/>
      <c r="G106" s="426"/>
      <c r="H106" s="474"/>
      <c r="I106" s="54">
        <v>1</v>
      </c>
      <c r="J106" s="54" t="s">
        <v>838</v>
      </c>
      <c r="K106" s="136">
        <v>302940100339</v>
      </c>
      <c r="L106" s="136" t="s">
        <v>1645</v>
      </c>
      <c r="M106" s="54" t="s">
        <v>855</v>
      </c>
      <c r="N106" s="54">
        <v>1</v>
      </c>
      <c r="O106" s="54">
        <v>1</v>
      </c>
      <c r="P106" s="54">
        <v>0</v>
      </c>
      <c r="Q106" s="54" t="s">
        <v>991</v>
      </c>
    </row>
    <row r="107" spans="1:17" s="68" customFormat="1" x14ac:dyDescent="0.25">
      <c r="A107" s="66">
        <v>104</v>
      </c>
      <c r="B107" s="480"/>
      <c r="C107" s="426"/>
      <c r="D107" s="423"/>
      <c r="E107" s="426"/>
      <c r="F107" s="426"/>
      <c r="G107" s="426"/>
      <c r="H107" s="474"/>
      <c r="I107" s="54">
        <v>1</v>
      </c>
      <c r="J107" s="54" t="s">
        <v>838</v>
      </c>
      <c r="K107" s="136">
        <v>302940100345</v>
      </c>
      <c r="L107" s="136" t="s">
        <v>1646</v>
      </c>
      <c r="M107" s="54" t="s">
        <v>855</v>
      </c>
      <c r="N107" s="54">
        <v>1</v>
      </c>
      <c r="O107" s="54">
        <v>1</v>
      </c>
      <c r="P107" s="54">
        <v>0</v>
      </c>
      <c r="Q107" s="54" t="s">
        <v>991</v>
      </c>
    </row>
    <row r="108" spans="1:17" s="68" customFormat="1" x14ac:dyDescent="0.25">
      <c r="A108" s="66">
        <v>105</v>
      </c>
      <c r="B108" s="481"/>
      <c r="C108" s="427"/>
      <c r="D108" s="424"/>
      <c r="E108" s="427"/>
      <c r="F108" s="427"/>
      <c r="G108" s="427"/>
      <c r="H108" s="475"/>
      <c r="I108" s="54">
        <v>1</v>
      </c>
      <c r="J108" s="54" t="s">
        <v>837</v>
      </c>
      <c r="K108" s="136">
        <v>302940100344</v>
      </c>
      <c r="L108" s="136" t="s">
        <v>1647</v>
      </c>
      <c r="M108" s="54" t="s">
        <v>855</v>
      </c>
      <c r="N108" s="54">
        <v>1</v>
      </c>
      <c r="O108" s="54">
        <v>1</v>
      </c>
      <c r="P108" s="54">
        <v>0</v>
      </c>
      <c r="Q108" s="54" t="s">
        <v>841</v>
      </c>
    </row>
    <row r="109" spans="1:17" x14ac:dyDescent="0.25">
      <c r="A109" s="66">
        <v>106</v>
      </c>
      <c r="B109" s="428" t="s">
        <v>675</v>
      </c>
      <c r="C109" s="425" t="s">
        <v>660</v>
      </c>
      <c r="D109" s="422">
        <v>5</v>
      </c>
      <c r="E109" s="425" t="s">
        <v>661</v>
      </c>
      <c r="F109" s="425" t="s">
        <v>664</v>
      </c>
      <c r="G109" s="425" t="s">
        <v>666</v>
      </c>
      <c r="H109" s="466">
        <v>109705</v>
      </c>
      <c r="I109" s="54">
        <v>1</v>
      </c>
      <c r="J109" s="54" t="s">
        <v>838</v>
      </c>
      <c r="K109" s="136">
        <v>521739002737</v>
      </c>
      <c r="L109" s="136" t="s">
        <v>1648</v>
      </c>
      <c r="M109" s="54" t="s">
        <v>855</v>
      </c>
      <c r="N109" s="54">
        <v>1</v>
      </c>
      <c r="O109" s="54">
        <v>1</v>
      </c>
      <c r="P109" s="66">
        <v>0</v>
      </c>
      <c r="Q109" s="66" t="s">
        <v>1371</v>
      </c>
    </row>
    <row r="110" spans="1:17" x14ac:dyDescent="0.25">
      <c r="A110" s="66">
        <v>107</v>
      </c>
      <c r="B110" s="429"/>
      <c r="C110" s="426"/>
      <c r="D110" s="423"/>
      <c r="E110" s="426"/>
      <c r="F110" s="426"/>
      <c r="G110" s="426"/>
      <c r="H110" s="466"/>
      <c r="I110" s="54">
        <v>1</v>
      </c>
      <c r="J110" s="54" t="s">
        <v>838</v>
      </c>
      <c r="K110" s="136">
        <v>911839000456</v>
      </c>
      <c r="L110" s="136" t="s">
        <v>1649</v>
      </c>
      <c r="M110" s="54" t="s">
        <v>855</v>
      </c>
      <c r="N110" s="54">
        <v>1</v>
      </c>
      <c r="O110" s="54">
        <v>1</v>
      </c>
      <c r="P110" s="66">
        <v>0</v>
      </c>
      <c r="Q110" s="66" t="s">
        <v>1371</v>
      </c>
    </row>
    <row r="111" spans="1:17" x14ac:dyDescent="0.25">
      <c r="A111" s="66">
        <v>108</v>
      </c>
      <c r="B111" s="429"/>
      <c r="C111" s="426"/>
      <c r="D111" s="423"/>
      <c r="E111" s="426"/>
      <c r="F111" s="426"/>
      <c r="G111" s="426"/>
      <c r="H111" s="466"/>
      <c r="I111" s="54">
        <v>1</v>
      </c>
      <c r="J111" s="54" t="s">
        <v>837</v>
      </c>
      <c r="K111" s="136">
        <v>911839000978</v>
      </c>
      <c r="L111" s="136" t="s">
        <v>1650</v>
      </c>
      <c r="M111" s="54" t="s">
        <v>855</v>
      </c>
      <c r="N111" s="54">
        <v>1</v>
      </c>
      <c r="O111" s="54">
        <v>1</v>
      </c>
      <c r="P111" s="66">
        <v>0</v>
      </c>
      <c r="Q111" s="66" t="s">
        <v>1371</v>
      </c>
    </row>
    <row r="112" spans="1:17" x14ac:dyDescent="0.25">
      <c r="A112" s="66">
        <v>109</v>
      </c>
      <c r="B112" s="429"/>
      <c r="C112" s="426"/>
      <c r="D112" s="423"/>
      <c r="E112" s="426"/>
      <c r="F112" s="426"/>
      <c r="G112" s="426"/>
      <c r="H112" s="466"/>
      <c r="I112" s="54">
        <v>1</v>
      </c>
      <c r="J112" s="54" t="s">
        <v>839</v>
      </c>
      <c r="K112" s="136">
        <v>911839000979</v>
      </c>
      <c r="L112" s="136" t="s">
        <v>1651</v>
      </c>
      <c r="M112" s="54" t="s">
        <v>855</v>
      </c>
      <c r="N112" s="54">
        <v>1</v>
      </c>
      <c r="O112" s="54">
        <v>1</v>
      </c>
      <c r="P112" s="66">
        <v>0</v>
      </c>
      <c r="Q112" s="66" t="s">
        <v>1371</v>
      </c>
    </row>
    <row r="113" spans="1:21" x14ac:dyDescent="0.25">
      <c r="A113" s="66">
        <v>110</v>
      </c>
      <c r="B113" s="429"/>
      <c r="C113" s="427"/>
      <c r="D113" s="424"/>
      <c r="E113" s="427"/>
      <c r="F113" s="427"/>
      <c r="G113" s="427"/>
      <c r="H113" s="466"/>
      <c r="I113" s="54">
        <v>1</v>
      </c>
      <c r="J113" s="54" t="s">
        <v>837</v>
      </c>
      <c r="K113" s="136">
        <v>911839000980</v>
      </c>
      <c r="L113" s="136" t="s">
        <v>1652</v>
      </c>
      <c r="M113" s="54" t="s">
        <v>855</v>
      </c>
      <c r="N113" s="54">
        <v>1</v>
      </c>
      <c r="O113" s="54">
        <v>1</v>
      </c>
      <c r="P113" s="66">
        <v>0</v>
      </c>
      <c r="Q113" s="66" t="s">
        <v>1371</v>
      </c>
    </row>
    <row r="114" spans="1:21" x14ac:dyDescent="0.25">
      <c r="A114" s="66">
        <v>111</v>
      </c>
      <c r="B114" s="429"/>
      <c r="C114" s="431" t="s">
        <v>662</v>
      </c>
      <c r="D114" s="441">
        <v>5</v>
      </c>
      <c r="E114" s="434" t="s">
        <v>663</v>
      </c>
      <c r="F114" s="444" t="s">
        <v>665</v>
      </c>
      <c r="G114" s="444" t="s">
        <v>667</v>
      </c>
      <c r="H114" s="467">
        <v>460686.45</v>
      </c>
      <c r="I114" s="89">
        <v>1</v>
      </c>
      <c r="J114" s="89" t="s">
        <v>839</v>
      </c>
      <c r="K114" s="92">
        <v>242339004434</v>
      </c>
      <c r="L114" s="136" t="s">
        <v>1653</v>
      </c>
      <c r="M114" s="54" t="s">
        <v>855</v>
      </c>
      <c r="N114" s="54">
        <v>1</v>
      </c>
      <c r="O114" s="54">
        <v>1</v>
      </c>
      <c r="P114" s="66">
        <v>0</v>
      </c>
      <c r="Q114" s="66" t="s">
        <v>1371</v>
      </c>
    </row>
    <row r="115" spans="1:21" x14ac:dyDescent="0.25">
      <c r="A115" s="66">
        <v>112</v>
      </c>
      <c r="B115" s="429"/>
      <c r="C115" s="432"/>
      <c r="D115" s="442"/>
      <c r="E115" s="435"/>
      <c r="F115" s="445"/>
      <c r="G115" s="445"/>
      <c r="H115" s="468"/>
      <c r="I115" s="89">
        <v>1</v>
      </c>
      <c r="J115" s="89" t="s">
        <v>839</v>
      </c>
      <c r="K115" s="92">
        <v>242339004423</v>
      </c>
      <c r="L115" s="136" t="s">
        <v>1654</v>
      </c>
      <c r="M115" s="54" t="s">
        <v>855</v>
      </c>
      <c r="N115" s="54">
        <v>1</v>
      </c>
      <c r="O115" s="54">
        <v>1</v>
      </c>
      <c r="P115" s="66">
        <v>0</v>
      </c>
      <c r="Q115" s="66" t="s">
        <v>1371</v>
      </c>
    </row>
    <row r="116" spans="1:21" x14ac:dyDescent="0.25">
      <c r="A116" s="66">
        <v>113</v>
      </c>
      <c r="B116" s="429"/>
      <c r="C116" s="432"/>
      <c r="D116" s="442"/>
      <c r="E116" s="435"/>
      <c r="F116" s="445"/>
      <c r="G116" s="445"/>
      <c r="H116" s="468"/>
      <c r="I116" s="89">
        <v>1</v>
      </c>
      <c r="J116" s="89" t="s">
        <v>839</v>
      </c>
      <c r="K116" s="92">
        <v>242339004437</v>
      </c>
      <c r="L116" s="136" t="s">
        <v>1655</v>
      </c>
      <c r="M116" s="54" t="s">
        <v>855</v>
      </c>
      <c r="N116" s="54">
        <v>1</v>
      </c>
      <c r="O116" s="54">
        <v>1</v>
      </c>
      <c r="P116" s="66">
        <v>0</v>
      </c>
      <c r="Q116" s="66" t="s">
        <v>1371</v>
      </c>
    </row>
    <row r="117" spans="1:21" x14ac:dyDescent="0.25">
      <c r="A117" s="66">
        <v>114</v>
      </c>
      <c r="B117" s="429"/>
      <c r="C117" s="432"/>
      <c r="D117" s="442"/>
      <c r="E117" s="435"/>
      <c r="F117" s="445"/>
      <c r="G117" s="445"/>
      <c r="H117" s="468"/>
      <c r="I117" s="89">
        <v>1</v>
      </c>
      <c r="J117" s="89" t="s">
        <v>839</v>
      </c>
      <c r="K117" s="92">
        <v>242339004425</v>
      </c>
      <c r="L117" s="136" t="s">
        <v>1656</v>
      </c>
      <c r="M117" s="54" t="s">
        <v>855</v>
      </c>
      <c r="N117" s="54">
        <v>1</v>
      </c>
      <c r="O117" s="54">
        <v>1</v>
      </c>
      <c r="P117" s="66">
        <v>0</v>
      </c>
      <c r="Q117" s="66" t="s">
        <v>1371</v>
      </c>
    </row>
    <row r="118" spans="1:21" x14ac:dyDescent="0.25">
      <c r="A118" s="66">
        <v>115</v>
      </c>
      <c r="B118" s="430"/>
      <c r="C118" s="433"/>
      <c r="D118" s="443"/>
      <c r="E118" s="436"/>
      <c r="F118" s="446"/>
      <c r="G118" s="446"/>
      <c r="H118" s="468"/>
      <c r="I118" s="89">
        <v>1</v>
      </c>
      <c r="J118" s="89" t="s">
        <v>839</v>
      </c>
      <c r="K118" s="92">
        <v>242339004427</v>
      </c>
      <c r="L118" s="136" t="s">
        <v>1657</v>
      </c>
      <c r="M118" s="54" t="s">
        <v>841</v>
      </c>
      <c r="N118" s="54">
        <v>1</v>
      </c>
      <c r="O118" s="54">
        <v>1</v>
      </c>
      <c r="P118" s="66">
        <v>0</v>
      </c>
      <c r="Q118" s="66" t="s">
        <v>1371</v>
      </c>
    </row>
    <row r="119" spans="1:21" ht="37.5" x14ac:dyDescent="0.25">
      <c r="A119" s="66">
        <v>116</v>
      </c>
      <c r="B119" s="107" t="s">
        <v>1377</v>
      </c>
      <c r="C119" s="89" t="s">
        <v>1380</v>
      </c>
      <c r="D119" s="105">
        <v>1</v>
      </c>
      <c r="E119" s="173" t="s">
        <v>221</v>
      </c>
      <c r="F119" s="173" t="s">
        <v>221</v>
      </c>
      <c r="G119" s="173" t="s">
        <v>221</v>
      </c>
      <c r="H119" s="173" t="s">
        <v>221</v>
      </c>
      <c r="I119" s="224">
        <v>1</v>
      </c>
      <c r="J119" s="70" t="s">
        <v>1378</v>
      </c>
      <c r="K119" s="228" t="s">
        <v>1379</v>
      </c>
      <c r="L119" s="173" t="s">
        <v>1955</v>
      </c>
      <c r="M119" s="223" t="s">
        <v>855</v>
      </c>
      <c r="N119" s="223">
        <v>1</v>
      </c>
      <c r="O119" s="223">
        <v>1</v>
      </c>
      <c r="P119" s="225">
        <v>0</v>
      </c>
      <c r="Q119" s="225" t="s">
        <v>1371</v>
      </c>
      <c r="R119" s="230"/>
      <c r="S119" s="231"/>
      <c r="T119" s="230"/>
      <c r="U119" s="230"/>
    </row>
    <row r="120" spans="1:21" s="186" customFormat="1" ht="23.25" customHeight="1" x14ac:dyDescent="0.25">
      <c r="B120" s="187"/>
      <c r="D120" s="188">
        <f>SUM(D4:D119)</f>
        <v>116</v>
      </c>
      <c r="H120" s="189">
        <f>SUM(H4:H119)</f>
        <v>21492925.900000002</v>
      </c>
      <c r="I120" s="188">
        <f>SUM(I4:I119)</f>
        <v>116</v>
      </c>
    </row>
  </sheetData>
  <mergeCells count="124">
    <mergeCell ref="E57:E62"/>
    <mergeCell ref="F63:F66"/>
    <mergeCell ref="E67:E72"/>
    <mergeCell ref="F67:F72"/>
    <mergeCell ref="F57:F62"/>
    <mergeCell ref="C57:C61"/>
    <mergeCell ref="B57:B62"/>
    <mergeCell ref="B105:B108"/>
    <mergeCell ref="C105:C108"/>
    <mergeCell ref="F105:F108"/>
    <mergeCell ref="D95:D104"/>
    <mergeCell ref="F95:F104"/>
    <mergeCell ref="E95:E104"/>
    <mergeCell ref="C95:C104"/>
    <mergeCell ref="E73:E80"/>
    <mergeCell ref="F73:F80"/>
    <mergeCell ref="E81:E88"/>
    <mergeCell ref="C63:C80"/>
    <mergeCell ref="B63:B80"/>
    <mergeCell ref="D63:D80"/>
    <mergeCell ref="E63:E66"/>
    <mergeCell ref="H28:H29"/>
    <mergeCell ref="H30:H34"/>
    <mergeCell ref="H109:H113"/>
    <mergeCell ref="H114:H118"/>
    <mergeCell ref="G109:G113"/>
    <mergeCell ref="G114:G118"/>
    <mergeCell ref="H73:H80"/>
    <mergeCell ref="G73:G80"/>
    <mergeCell ref="G81:G88"/>
    <mergeCell ref="G89:G94"/>
    <mergeCell ref="H57:H62"/>
    <mergeCell ref="H63:H66"/>
    <mergeCell ref="G63:G66"/>
    <mergeCell ref="H95:H104"/>
    <mergeCell ref="G95:G104"/>
    <mergeCell ref="G67:G72"/>
    <mergeCell ref="G57:G62"/>
    <mergeCell ref="H35:H39"/>
    <mergeCell ref="H40:H43"/>
    <mergeCell ref="H44:H48"/>
    <mergeCell ref="H105:H108"/>
    <mergeCell ref="G105:G108"/>
    <mergeCell ref="F35:F39"/>
    <mergeCell ref="B4:B48"/>
    <mergeCell ref="G5:G8"/>
    <mergeCell ref="G19:G27"/>
    <mergeCell ref="G29:G34"/>
    <mergeCell ref="G13:G16"/>
    <mergeCell ref="C13:C16"/>
    <mergeCell ref="E13:E16"/>
    <mergeCell ref="F13:F16"/>
    <mergeCell ref="D13:D16"/>
    <mergeCell ref="G35:G39"/>
    <mergeCell ref="F40:F43"/>
    <mergeCell ref="G40:G43"/>
    <mergeCell ref="G44:G48"/>
    <mergeCell ref="C44:C48"/>
    <mergeCell ref="E44:E48"/>
    <mergeCell ref="F44:F48"/>
    <mergeCell ref="D44:D48"/>
    <mergeCell ref="F18:F27"/>
    <mergeCell ref="F28:F34"/>
    <mergeCell ref="C9:C12"/>
    <mergeCell ref="D9:D12"/>
    <mergeCell ref="E9:E12"/>
    <mergeCell ref="F9:F12"/>
    <mergeCell ref="C19:C27"/>
    <mergeCell ref="E18:E27"/>
    <mergeCell ref="D19:D27"/>
    <mergeCell ref="E40:E43"/>
    <mergeCell ref="D40:D43"/>
    <mergeCell ref="C28:C29"/>
    <mergeCell ref="C30:C34"/>
    <mergeCell ref="C35:C39"/>
    <mergeCell ref="E35:E39"/>
    <mergeCell ref="D35:D39"/>
    <mergeCell ref="D30:D34"/>
    <mergeCell ref="E28:E34"/>
    <mergeCell ref="D28:D29"/>
    <mergeCell ref="C40:C43"/>
    <mergeCell ref="A1:Q1"/>
    <mergeCell ref="E4:E8"/>
    <mergeCell ref="D4:D8"/>
    <mergeCell ref="C4:C8"/>
    <mergeCell ref="F4:F8"/>
    <mergeCell ref="I2:K2"/>
    <mergeCell ref="A2:A3"/>
    <mergeCell ref="C2:C3"/>
    <mergeCell ref="D2:D3"/>
    <mergeCell ref="E2:E3"/>
    <mergeCell ref="F2:F3"/>
    <mergeCell ref="G2:G3"/>
    <mergeCell ref="H2:H3"/>
    <mergeCell ref="M2:M3"/>
    <mergeCell ref="N2:N3"/>
    <mergeCell ref="O2:O3"/>
    <mergeCell ref="P2:P3"/>
    <mergeCell ref="Q2:Q3"/>
    <mergeCell ref="L2:L3"/>
    <mergeCell ref="B49:B56"/>
    <mergeCell ref="D105:D108"/>
    <mergeCell ref="E105:E108"/>
    <mergeCell ref="D57:D61"/>
    <mergeCell ref="E49:E51"/>
    <mergeCell ref="C49:C51"/>
    <mergeCell ref="F49:F51"/>
    <mergeCell ref="D49:D51"/>
    <mergeCell ref="F109:F113"/>
    <mergeCell ref="D109:D113"/>
    <mergeCell ref="B109:B118"/>
    <mergeCell ref="C114:C118"/>
    <mergeCell ref="C109:C113"/>
    <mergeCell ref="E109:E113"/>
    <mergeCell ref="E114:E118"/>
    <mergeCell ref="F81:F88"/>
    <mergeCell ref="E89:E94"/>
    <mergeCell ref="F89:F94"/>
    <mergeCell ref="B95:B104"/>
    <mergeCell ref="C81:C94"/>
    <mergeCell ref="B81:B94"/>
    <mergeCell ref="D114:D118"/>
    <mergeCell ref="D81:D94"/>
    <mergeCell ref="F114:F118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6" fitToHeight="0" orientation="landscape" r:id="rId1"/>
  <rowBreaks count="1" manualBreakCount="1">
    <brk id="42" max="1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157"/>
  <sheetViews>
    <sheetView zoomScale="60" zoomScaleNormal="60" workbookViewId="0">
      <pane ySplit="3" topLeftCell="A4" activePane="bottomLeft" state="frozen"/>
      <selection activeCell="B16" sqref="B16"/>
      <selection pane="bottomLeft" activeCell="O18" sqref="O18"/>
    </sheetView>
  </sheetViews>
  <sheetFormatPr defaultColWidth="9.140625" defaultRowHeight="18.75" x14ac:dyDescent="0.25"/>
  <cols>
    <col min="1" max="1" width="7.28515625" style="58" bestFit="1" customWidth="1"/>
    <col min="2" max="2" width="16.42578125" style="58" customWidth="1"/>
    <col min="3" max="3" width="28" style="58" customWidth="1"/>
    <col min="4" max="4" width="6.5703125" style="58" bestFit="1" customWidth="1"/>
    <col min="5" max="5" width="31" style="58" customWidth="1"/>
    <col min="6" max="6" width="26.140625" style="58" customWidth="1"/>
    <col min="7" max="7" width="29.5703125" style="58" customWidth="1"/>
    <col min="8" max="8" width="21.5703125" style="58" bestFit="1" customWidth="1"/>
    <col min="9" max="9" width="6.5703125" style="58" bestFit="1" customWidth="1"/>
    <col min="10" max="10" width="17" style="58" bestFit="1" customWidth="1"/>
    <col min="11" max="11" width="27.28515625" style="58" customWidth="1"/>
    <col min="12" max="12" width="19.28515625" style="58" bestFit="1" customWidth="1"/>
    <col min="13" max="13" width="22.5703125" style="58" customWidth="1"/>
    <col min="14" max="14" width="8" style="58" customWidth="1"/>
    <col min="15" max="15" width="13.85546875" style="58" customWidth="1"/>
    <col min="16" max="16" width="12.85546875" style="58" customWidth="1"/>
    <col min="17" max="17" width="23.5703125" style="58" customWidth="1"/>
    <col min="18" max="18" width="28.42578125" style="58" customWidth="1"/>
    <col min="19" max="16384" width="9.140625" style="58"/>
  </cols>
  <sheetData>
    <row r="1" spans="1:18" ht="20.25" customHeight="1" x14ac:dyDescent="0.25">
      <c r="A1" s="501" t="s">
        <v>1461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</row>
    <row r="2" spans="1:18" s="68" customFormat="1" ht="23.25" customHeight="1" x14ac:dyDescent="0.25">
      <c r="A2" s="502" t="s">
        <v>0</v>
      </c>
      <c r="B2" s="106"/>
      <c r="C2" s="502" t="s">
        <v>1</v>
      </c>
      <c r="D2" s="502" t="s">
        <v>2</v>
      </c>
      <c r="E2" s="502" t="s">
        <v>10</v>
      </c>
      <c r="F2" s="502" t="s">
        <v>3</v>
      </c>
      <c r="G2" s="502" t="s">
        <v>4</v>
      </c>
      <c r="H2" s="502" t="s">
        <v>5</v>
      </c>
      <c r="I2" s="503" t="s">
        <v>9</v>
      </c>
      <c r="J2" s="503"/>
      <c r="K2" s="503"/>
      <c r="L2" s="336"/>
      <c r="M2" s="482" t="s">
        <v>1025</v>
      </c>
      <c r="N2" s="447" t="s">
        <v>6</v>
      </c>
      <c r="O2" s="447" t="s">
        <v>7</v>
      </c>
      <c r="P2" s="447" t="s">
        <v>8</v>
      </c>
      <c r="Q2" s="447" t="s">
        <v>836</v>
      </c>
      <c r="R2" s="485" t="s">
        <v>1455</v>
      </c>
    </row>
    <row r="3" spans="1:18" s="55" customFormat="1" ht="24.75" customHeight="1" x14ac:dyDescent="0.25">
      <c r="A3" s="502"/>
      <c r="B3" s="106"/>
      <c r="C3" s="502"/>
      <c r="D3" s="502"/>
      <c r="E3" s="502"/>
      <c r="F3" s="502"/>
      <c r="G3" s="502"/>
      <c r="H3" s="502"/>
      <c r="I3" s="154" t="s">
        <v>11</v>
      </c>
      <c r="J3" s="154" t="s">
        <v>676</v>
      </c>
      <c r="K3" s="312" t="s">
        <v>12</v>
      </c>
      <c r="L3" s="337" t="s">
        <v>1915</v>
      </c>
      <c r="M3" s="484"/>
      <c r="N3" s="447"/>
      <c r="O3" s="447"/>
      <c r="P3" s="447"/>
      <c r="Q3" s="447"/>
      <c r="R3" s="485"/>
    </row>
    <row r="4" spans="1:18" s="68" customFormat="1" ht="26.25" customHeight="1" x14ac:dyDescent="0.25">
      <c r="A4" s="54">
        <v>1</v>
      </c>
      <c r="B4" s="482" t="s">
        <v>224</v>
      </c>
      <c r="C4" s="428" t="s">
        <v>48</v>
      </c>
      <c r="D4" s="428">
        <v>12</v>
      </c>
      <c r="E4" s="425" t="s">
        <v>49</v>
      </c>
      <c r="F4" s="425" t="s">
        <v>50</v>
      </c>
      <c r="G4" s="425" t="s">
        <v>117</v>
      </c>
      <c r="H4" s="62">
        <v>34991</v>
      </c>
      <c r="I4" s="66">
        <v>1</v>
      </c>
      <c r="J4" s="66" t="s">
        <v>850</v>
      </c>
      <c r="K4" s="331" t="s">
        <v>175</v>
      </c>
      <c r="L4" s="314" t="s">
        <v>1658</v>
      </c>
      <c r="M4" s="89" t="s">
        <v>855</v>
      </c>
      <c r="N4" s="66">
        <v>1</v>
      </c>
      <c r="O4" s="66">
        <v>1</v>
      </c>
      <c r="P4" s="54">
        <v>0</v>
      </c>
      <c r="Q4" s="54" t="s">
        <v>851</v>
      </c>
    </row>
    <row r="5" spans="1:18" s="68" customFormat="1" x14ac:dyDescent="0.25">
      <c r="A5" s="54">
        <v>2</v>
      </c>
      <c r="B5" s="483"/>
      <c r="C5" s="429"/>
      <c r="D5" s="429"/>
      <c r="E5" s="426"/>
      <c r="F5" s="426"/>
      <c r="G5" s="426"/>
      <c r="H5" s="62">
        <v>34991</v>
      </c>
      <c r="I5" s="66">
        <v>1</v>
      </c>
      <c r="J5" s="66" t="s">
        <v>852</v>
      </c>
      <c r="K5" s="331" t="s">
        <v>176</v>
      </c>
      <c r="L5" s="314" t="s">
        <v>1659</v>
      </c>
      <c r="M5" s="89" t="s">
        <v>855</v>
      </c>
      <c r="N5" s="66">
        <v>1</v>
      </c>
      <c r="O5" s="66">
        <v>1</v>
      </c>
      <c r="P5" s="54">
        <v>0</v>
      </c>
      <c r="Q5" s="54" t="s">
        <v>1371</v>
      </c>
    </row>
    <row r="6" spans="1:18" s="68" customFormat="1" x14ac:dyDescent="0.25">
      <c r="A6" s="54">
        <v>3</v>
      </c>
      <c r="B6" s="483"/>
      <c r="C6" s="429"/>
      <c r="D6" s="429"/>
      <c r="E6" s="426"/>
      <c r="F6" s="426"/>
      <c r="G6" s="426"/>
      <c r="H6" s="62">
        <v>34991</v>
      </c>
      <c r="I6" s="66">
        <v>1</v>
      </c>
      <c r="J6" s="66" t="s">
        <v>853</v>
      </c>
      <c r="K6" s="331" t="s">
        <v>177</v>
      </c>
      <c r="L6" s="338" t="s">
        <v>1660</v>
      </c>
      <c r="M6" s="89" t="s">
        <v>855</v>
      </c>
      <c r="N6" s="66">
        <v>1</v>
      </c>
      <c r="O6" s="66">
        <v>1</v>
      </c>
      <c r="P6" s="54">
        <v>0</v>
      </c>
      <c r="Q6" s="54" t="s">
        <v>1371</v>
      </c>
    </row>
    <row r="7" spans="1:18" s="68" customFormat="1" x14ac:dyDescent="0.25">
      <c r="A7" s="54">
        <v>4</v>
      </c>
      <c r="B7" s="483"/>
      <c r="C7" s="429"/>
      <c r="D7" s="429"/>
      <c r="E7" s="426"/>
      <c r="F7" s="426"/>
      <c r="G7" s="426"/>
      <c r="H7" s="62">
        <v>34991</v>
      </c>
      <c r="I7" s="66">
        <v>1</v>
      </c>
      <c r="J7" s="66" t="s">
        <v>853</v>
      </c>
      <c r="K7" s="331" t="s">
        <v>178</v>
      </c>
      <c r="L7" s="338" t="s">
        <v>1661</v>
      </c>
      <c r="M7" s="89" t="s">
        <v>855</v>
      </c>
      <c r="N7" s="66">
        <v>1</v>
      </c>
      <c r="O7" s="66">
        <v>1</v>
      </c>
      <c r="P7" s="54">
        <v>0</v>
      </c>
      <c r="Q7" s="54" t="s">
        <v>1371</v>
      </c>
    </row>
    <row r="8" spans="1:18" s="68" customFormat="1" x14ac:dyDescent="0.25">
      <c r="A8" s="54">
        <v>5</v>
      </c>
      <c r="B8" s="483"/>
      <c r="C8" s="429"/>
      <c r="D8" s="429"/>
      <c r="E8" s="426"/>
      <c r="F8" s="426"/>
      <c r="G8" s="426"/>
      <c r="H8" s="62">
        <v>34991</v>
      </c>
      <c r="I8" s="66">
        <v>1</v>
      </c>
      <c r="J8" s="66" t="s">
        <v>852</v>
      </c>
      <c r="K8" s="331" t="s">
        <v>179</v>
      </c>
      <c r="L8" s="314" t="s">
        <v>1662</v>
      </c>
      <c r="M8" s="89" t="s">
        <v>855</v>
      </c>
      <c r="N8" s="66">
        <v>1</v>
      </c>
      <c r="O8" s="66">
        <v>1</v>
      </c>
      <c r="P8" s="54">
        <v>0</v>
      </c>
      <c r="Q8" s="54" t="s">
        <v>1371</v>
      </c>
    </row>
    <row r="9" spans="1:18" s="68" customFormat="1" x14ac:dyDescent="0.25">
      <c r="A9" s="54">
        <v>6</v>
      </c>
      <c r="B9" s="483"/>
      <c r="C9" s="429"/>
      <c r="D9" s="429"/>
      <c r="E9" s="426"/>
      <c r="F9" s="426"/>
      <c r="G9" s="426"/>
      <c r="H9" s="62">
        <v>34991</v>
      </c>
      <c r="I9" s="66">
        <v>1</v>
      </c>
      <c r="J9" s="66" t="s">
        <v>850</v>
      </c>
      <c r="K9" s="331" t="s">
        <v>180</v>
      </c>
      <c r="L9" s="339" t="s">
        <v>1663</v>
      </c>
      <c r="M9" s="89" t="s">
        <v>855</v>
      </c>
      <c r="N9" s="66">
        <v>1</v>
      </c>
      <c r="O9" s="66">
        <v>1</v>
      </c>
      <c r="P9" s="54">
        <v>0</v>
      </c>
      <c r="Q9" s="54" t="s">
        <v>1371</v>
      </c>
    </row>
    <row r="10" spans="1:18" s="68" customFormat="1" x14ac:dyDescent="0.25">
      <c r="A10" s="54">
        <v>7</v>
      </c>
      <c r="B10" s="483"/>
      <c r="C10" s="429"/>
      <c r="D10" s="429"/>
      <c r="E10" s="426"/>
      <c r="F10" s="426"/>
      <c r="G10" s="426"/>
      <c r="H10" s="62">
        <v>34991</v>
      </c>
      <c r="I10" s="66">
        <v>1</v>
      </c>
      <c r="J10" s="66" t="s">
        <v>850</v>
      </c>
      <c r="K10" s="331" t="s">
        <v>181</v>
      </c>
      <c r="L10" s="338" t="s">
        <v>1664</v>
      </c>
      <c r="M10" s="89" t="s">
        <v>855</v>
      </c>
      <c r="N10" s="66">
        <v>1</v>
      </c>
      <c r="O10" s="66">
        <v>1</v>
      </c>
      <c r="P10" s="54">
        <v>0</v>
      </c>
      <c r="Q10" s="54" t="s">
        <v>854</v>
      </c>
    </row>
    <row r="11" spans="1:18" s="68" customFormat="1" x14ac:dyDescent="0.25">
      <c r="A11" s="54">
        <v>8</v>
      </c>
      <c r="B11" s="483"/>
      <c r="C11" s="429"/>
      <c r="D11" s="429"/>
      <c r="E11" s="426"/>
      <c r="F11" s="426"/>
      <c r="G11" s="426"/>
      <c r="H11" s="62">
        <v>34991</v>
      </c>
      <c r="I11" s="66">
        <v>1</v>
      </c>
      <c r="J11" s="66" t="s">
        <v>853</v>
      </c>
      <c r="K11" s="331" t="s">
        <v>182</v>
      </c>
      <c r="L11" s="339" t="s">
        <v>1665</v>
      </c>
      <c r="M11" s="89" t="s">
        <v>855</v>
      </c>
      <c r="N11" s="66">
        <v>1</v>
      </c>
      <c r="O11" s="66">
        <v>1</v>
      </c>
      <c r="P11" s="54">
        <v>0</v>
      </c>
      <c r="Q11" s="54" t="s">
        <v>1371</v>
      </c>
    </row>
    <row r="12" spans="1:18" s="68" customFormat="1" x14ac:dyDescent="0.25">
      <c r="A12" s="54">
        <v>9</v>
      </c>
      <c r="B12" s="483"/>
      <c r="C12" s="429"/>
      <c r="D12" s="429"/>
      <c r="E12" s="426"/>
      <c r="F12" s="426"/>
      <c r="G12" s="426"/>
      <c r="H12" s="62">
        <v>34991</v>
      </c>
      <c r="I12" s="66">
        <v>1</v>
      </c>
      <c r="J12" s="66" t="s">
        <v>852</v>
      </c>
      <c r="K12" s="331" t="s">
        <v>183</v>
      </c>
      <c r="L12" s="339" t="s">
        <v>1666</v>
      </c>
      <c r="M12" s="89" t="s">
        <v>855</v>
      </c>
      <c r="N12" s="66">
        <v>1</v>
      </c>
      <c r="O12" s="66">
        <v>1</v>
      </c>
      <c r="P12" s="54">
        <v>0</v>
      </c>
      <c r="Q12" s="54" t="s">
        <v>1371</v>
      </c>
    </row>
    <row r="13" spans="1:18" s="68" customFormat="1" x14ac:dyDescent="0.25">
      <c r="A13" s="54">
        <v>10</v>
      </c>
      <c r="B13" s="483"/>
      <c r="C13" s="429"/>
      <c r="D13" s="429"/>
      <c r="E13" s="426"/>
      <c r="F13" s="426"/>
      <c r="G13" s="426"/>
      <c r="H13" s="62">
        <v>34991</v>
      </c>
      <c r="I13" s="66">
        <v>1</v>
      </c>
      <c r="J13" s="66" t="s">
        <v>850</v>
      </c>
      <c r="K13" s="331" t="s">
        <v>184</v>
      </c>
      <c r="L13" s="314" t="s">
        <v>1667</v>
      </c>
      <c r="M13" s="89" t="s">
        <v>855</v>
      </c>
      <c r="N13" s="66">
        <v>1</v>
      </c>
      <c r="O13" s="66">
        <v>1</v>
      </c>
      <c r="P13" s="54">
        <v>0</v>
      </c>
      <c r="Q13" s="54" t="s">
        <v>1382</v>
      </c>
    </row>
    <row r="14" spans="1:18" s="68" customFormat="1" x14ac:dyDescent="0.25">
      <c r="A14" s="54">
        <v>11</v>
      </c>
      <c r="B14" s="483"/>
      <c r="C14" s="429"/>
      <c r="D14" s="429"/>
      <c r="E14" s="426"/>
      <c r="F14" s="426"/>
      <c r="G14" s="426"/>
      <c r="H14" s="62">
        <v>34991</v>
      </c>
      <c r="I14" s="66">
        <v>1</v>
      </c>
      <c r="J14" s="66" t="s">
        <v>850</v>
      </c>
      <c r="K14" s="331" t="s">
        <v>185</v>
      </c>
      <c r="L14" s="314" t="s">
        <v>1668</v>
      </c>
      <c r="M14" s="89" t="s">
        <v>855</v>
      </c>
      <c r="N14" s="66">
        <v>1</v>
      </c>
      <c r="O14" s="66">
        <v>1</v>
      </c>
      <c r="P14" s="54">
        <v>0</v>
      </c>
      <c r="Q14" s="54" t="s">
        <v>1401</v>
      </c>
    </row>
    <row r="15" spans="1:18" s="176" customFormat="1" ht="56.25" x14ac:dyDescent="0.25">
      <c r="A15" s="89">
        <v>12</v>
      </c>
      <c r="B15" s="483"/>
      <c r="C15" s="430"/>
      <c r="D15" s="430"/>
      <c r="E15" s="427"/>
      <c r="F15" s="427"/>
      <c r="G15" s="427"/>
      <c r="H15" s="114">
        <v>34991</v>
      </c>
      <c r="I15" s="89">
        <v>1</v>
      </c>
      <c r="J15" s="89" t="s">
        <v>853</v>
      </c>
      <c r="K15" s="331" t="s">
        <v>856</v>
      </c>
      <c r="L15" s="314" t="s">
        <v>1669</v>
      </c>
      <c r="M15" s="89" t="s">
        <v>855</v>
      </c>
      <c r="N15" s="89">
        <v>1</v>
      </c>
      <c r="O15" s="89">
        <v>1</v>
      </c>
      <c r="P15" s="89">
        <v>0</v>
      </c>
      <c r="Q15" s="89" t="s">
        <v>1384</v>
      </c>
    </row>
    <row r="16" spans="1:18" s="55" customFormat="1" x14ac:dyDescent="0.25">
      <c r="A16" s="54">
        <v>13</v>
      </c>
      <c r="B16" s="483"/>
      <c r="C16" s="447" t="s">
        <v>42</v>
      </c>
      <c r="D16" s="447">
        <v>15</v>
      </c>
      <c r="E16" s="495" t="s">
        <v>43</v>
      </c>
      <c r="F16" s="496" t="s">
        <v>44</v>
      </c>
      <c r="G16" s="496" t="s">
        <v>115</v>
      </c>
      <c r="H16" s="114">
        <v>45444</v>
      </c>
      <c r="I16" s="66">
        <v>1</v>
      </c>
      <c r="J16" s="66" t="s">
        <v>853</v>
      </c>
      <c r="K16" s="331" t="s">
        <v>148</v>
      </c>
      <c r="L16" s="331" t="s">
        <v>1670</v>
      </c>
      <c r="M16" s="89" t="s">
        <v>855</v>
      </c>
      <c r="N16" s="66">
        <v>1</v>
      </c>
      <c r="O16" s="66">
        <v>1</v>
      </c>
      <c r="P16" s="54">
        <v>0</v>
      </c>
      <c r="Q16" s="54" t="s">
        <v>1371</v>
      </c>
    </row>
    <row r="17" spans="1:17" s="55" customFormat="1" x14ac:dyDescent="0.25">
      <c r="A17" s="54">
        <v>14</v>
      </c>
      <c r="B17" s="483"/>
      <c r="C17" s="447"/>
      <c r="D17" s="447"/>
      <c r="E17" s="495"/>
      <c r="F17" s="496"/>
      <c r="G17" s="496"/>
      <c r="H17" s="114">
        <v>45444</v>
      </c>
      <c r="I17" s="66">
        <v>1</v>
      </c>
      <c r="J17" s="66" t="s">
        <v>853</v>
      </c>
      <c r="K17" s="331" t="s">
        <v>149</v>
      </c>
      <c r="L17" s="331" t="s">
        <v>1671</v>
      </c>
      <c r="M17" s="89" t="s">
        <v>855</v>
      </c>
      <c r="N17" s="66">
        <v>1</v>
      </c>
      <c r="O17" s="66">
        <v>1</v>
      </c>
      <c r="P17" s="54">
        <v>0</v>
      </c>
      <c r="Q17" s="54" t="s">
        <v>1371</v>
      </c>
    </row>
    <row r="18" spans="1:17" s="55" customFormat="1" x14ac:dyDescent="0.25">
      <c r="A18" s="54">
        <v>15</v>
      </c>
      <c r="B18" s="483"/>
      <c r="C18" s="447"/>
      <c r="D18" s="447"/>
      <c r="E18" s="495"/>
      <c r="F18" s="496"/>
      <c r="G18" s="496"/>
      <c r="H18" s="114">
        <v>45444</v>
      </c>
      <c r="I18" s="66">
        <v>1</v>
      </c>
      <c r="J18" s="66" t="s">
        <v>853</v>
      </c>
      <c r="K18" s="331" t="s">
        <v>150</v>
      </c>
      <c r="L18" s="331" t="s">
        <v>1672</v>
      </c>
      <c r="M18" s="89" t="s">
        <v>855</v>
      </c>
      <c r="N18" s="66">
        <v>1</v>
      </c>
      <c r="O18" s="66">
        <v>1</v>
      </c>
      <c r="P18" s="54">
        <v>0</v>
      </c>
      <c r="Q18" s="54" t="s">
        <v>1371</v>
      </c>
    </row>
    <row r="19" spans="1:17" s="55" customFormat="1" x14ac:dyDescent="0.25">
      <c r="A19" s="54">
        <v>16</v>
      </c>
      <c r="B19" s="483"/>
      <c r="C19" s="447"/>
      <c r="D19" s="447"/>
      <c r="E19" s="495"/>
      <c r="F19" s="496"/>
      <c r="G19" s="496"/>
      <c r="H19" s="114">
        <v>45444</v>
      </c>
      <c r="I19" s="66">
        <v>1</v>
      </c>
      <c r="J19" s="66" t="s">
        <v>853</v>
      </c>
      <c r="K19" s="331" t="s">
        <v>151</v>
      </c>
      <c r="L19" s="338" t="s">
        <v>1673</v>
      </c>
      <c r="M19" s="89" t="s">
        <v>855</v>
      </c>
      <c r="N19" s="66">
        <v>1</v>
      </c>
      <c r="O19" s="66">
        <v>1</v>
      </c>
      <c r="P19" s="54">
        <v>0</v>
      </c>
      <c r="Q19" s="54" t="s">
        <v>1371</v>
      </c>
    </row>
    <row r="20" spans="1:17" s="55" customFormat="1" x14ac:dyDescent="0.25">
      <c r="A20" s="54">
        <v>17</v>
      </c>
      <c r="B20" s="483"/>
      <c r="C20" s="447"/>
      <c r="D20" s="447"/>
      <c r="E20" s="495"/>
      <c r="F20" s="496"/>
      <c r="G20" s="496"/>
      <c r="H20" s="114">
        <v>45444</v>
      </c>
      <c r="I20" s="66">
        <v>1</v>
      </c>
      <c r="J20" s="66" t="s">
        <v>853</v>
      </c>
      <c r="K20" s="331" t="s">
        <v>152</v>
      </c>
      <c r="L20" s="331" t="s">
        <v>1674</v>
      </c>
      <c r="M20" s="89" t="s">
        <v>855</v>
      </c>
      <c r="N20" s="66">
        <v>1</v>
      </c>
      <c r="O20" s="66">
        <v>1</v>
      </c>
      <c r="P20" s="54">
        <v>0</v>
      </c>
      <c r="Q20" s="54" t="s">
        <v>1371</v>
      </c>
    </row>
    <row r="21" spans="1:17" s="55" customFormat="1" x14ac:dyDescent="0.25">
      <c r="A21" s="54">
        <v>18</v>
      </c>
      <c r="B21" s="483"/>
      <c r="C21" s="447"/>
      <c r="D21" s="447"/>
      <c r="E21" s="495"/>
      <c r="F21" s="496"/>
      <c r="G21" s="496"/>
      <c r="H21" s="114">
        <v>45444</v>
      </c>
      <c r="I21" s="66">
        <v>1</v>
      </c>
      <c r="J21" s="66" t="s">
        <v>853</v>
      </c>
      <c r="K21" s="331" t="s">
        <v>153</v>
      </c>
      <c r="L21" s="331" t="s">
        <v>1675</v>
      </c>
      <c r="M21" s="89" t="s">
        <v>855</v>
      </c>
      <c r="N21" s="66">
        <v>1</v>
      </c>
      <c r="O21" s="66">
        <v>1</v>
      </c>
      <c r="P21" s="54">
        <v>0</v>
      </c>
      <c r="Q21" s="54" t="s">
        <v>1371</v>
      </c>
    </row>
    <row r="22" spans="1:17" s="55" customFormat="1" x14ac:dyDescent="0.25">
      <c r="A22" s="54">
        <v>19</v>
      </c>
      <c r="B22" s="483"/>
      <c r="C22" s="447"/>
      <c r="D22" s="447"/>
      <c r="E22" s="495"/>
      <c r="F22" s="496"/>
      <c r="G22" s="496"/>
      <c r="H22" s="114">
        <v>45444</v>
      </c>
      <c r="I22" s="66">
        <v>1</v>
      </c>
      <c r="J22" s="66" t="s">
        <v>853</v>
      </c>
      <c r="K22" s="331" t="s">
        <v>154</v>
      </c>
      <c r="L22" s="331" t="s">
        <v>1676</v>
      </c>
      <c r="M22" s="89" t="s">
        <v>855</v>
      </c>
      <c r="N22" s="66">
        <v>1</v>
      </c>
      <c r="O22" s="66">
        <v>1</v>
      </c>
      <c r="P22" s="54">
        <v>0</v>
      </c>
      <c r="Q22" s="54" t="s">
        <v>1371</v>
      </c>
    </row>
    <row r="23" spans="1:17" s="55" customFormat="1" x14ac:dyDescent="0.25">
      <c r="A23" s="54">
        <v>20</v>
      </c>
      <c r="B23" s="483"/>
      <c r="C23" s="447"/>
      <c r="D23" s="447"/>
      <c r="E23" s="495"/>
      <c r="F23" s="496"/>
      <c r="G23" s="496"/>
      <c r="H23" s="114">
        <v>45444</v>
      </c>
      <c r="I23" s="66">
        <v>1</v>
      </c>
      <c r="J23" s="66" t="s">
        <v>850</v>
      </c>
      <c r="K23" s="331" t="s">
        <v>155</v>
      </c>
      <c r="L23" s="331" t="s">
        <v>1677</v>
      </c>
      <c r="M23" s="89" t="s">
        <v>855</v>
      </c>
      <c r="N23" s="66">
        <v>1</v>
      </c>
      <c r="O23" s="66">
        <v>1</v>
      </c>
      <c r="P23" s="54">
        <v>0</v>
      </c>
      <c r="Q23" s="54" t="s">
        <v>1371</v>
      </c>
    </row>
    <row r="24" spans="1:17" s="55" customFormat="1" x14ac:dyDescent="0.25">
      <c r="A24" s="54">
        <v>21</v>
      </c>
      <c r="B24" s="483"/>
      <c r="C24" s="447"/>
      <c r="D24" s="447"/>
      <c r="E24" s="495"/>
      <c r="F24" s="496"/>
      <c r="G24" s="496"/>
      <c r="H24" s="114">
        <v>45444</v>
      </c>
      <c r="I24" s="66">
        <v>1</v>
      </c>
      <c r="J24" s="66" t="s">
        <v>853</v>
      </c>
      <c r="K24" s="331" t="s">
        <v>156</v>
      </c>
      <c r="L24" s="331" t="s">
        <v>1678</v>
      </c>
      <c r="M24" s="89" t="s">
        <v>855</v>
      </c>
      <c r="N24" s="66">
        <v>1</v>
      </c>
      <c r="O24" s="66">
        <v>1</v>
      </c>
      <c r="P24" s="54">
        <v>0</v>
      </c>
      <c r="Q24" s="54" t="s">
        <v>1371</v>
      </c>
    </row>
    <row r="25" spans="1:17" s="55" customFormat="1" x14ac:dyDescent="0.25">
      <c r="A25" s="54">
        <v>22</v>
      </c>
      <c r="B25" s="483"/>
      <c r="C25" s="447"/>
      <c r="D25" s="447"/>
      <c r="E25" s="495"/>
      <c r="F25" s="496"/>
      <c r="G25" s="496"/>
      <c r="H25" s="114">
        <v>45444</v>
      </c>
      <c r="I25" s="66">
        <v>1</v>
      </c>
      <c r="J25" s="66" t="s">
        <v>850</v>
      </c>
      <c r="K25" s="331" t="s">
        <v>157</v>
      </c>
      <c r="L25" s="331" t="s">
        <v>1679</v>
      </c>
      <c r="M25" s="89" t="s">
        <v>855</v>
      </c>
      <c r="N25" s="66">
        <v>1</v>
      </c>
      <c r="O25" s="66">
        <v>1</v>
      </c>
      <c r="P25" s="54">
        <v>0</v>
      </c>
      <c r="Q25" s="54" t="s">
        <v>1371</v>
      </c>
    </row>
    <row r="26" spans="1:17" s="55" customFormat="1" x14ac:dyDescent="0.25">
      <c r="A26" s="54">
        <v>23</v>
      </c>
      <c r="B26" s="483"/>
      <c r="C26" s="447"/>
      <c r="D26" s="447"/>
      <c r="E26" s="495"/>
      <c r="F26" s="496"/>
      <c r="G26" s="496"/>
      <c r="H26" s="114">
        <v>45444</v>
      </c>
      <c r="I26" s="66">
        <v>1</v>
      </c>
      <c r="J26" s="66" t="s">
        <v>850</v>
      </c>
      <c r="K26" s="331" t="s">
        <v>158</v>
      </c>
      <c r="L26" s="331" t="s">
        <v>1680</v>
      </c>
      <c r="M26" s="89" t="s">
        <v>855</v>
      </c>
      <c r="N26" s="66">
        <v>1</v>
      </c>
      <c r="O26" s="66">
        <v>1</v>
      </c>
      <c r="P26" s="54">
        <v>0</v>
      </c>
      <c r="Q26" s="54" t="s">
        <v>1371</v>
      </c>
    </row>
    <row r="27" spans="1:17" s="55" customFormat="1" x14ac:dyDescent="0.25">
      <c r="A27" s="54">
        <v>24</v>
      </c>
      <c r="B27" s="483"/>
      <c r="C27" s="447"/>
      <c r="D27" s="447"/>
      <c r="E27" s="495"/>
      <c r="F27" s="496"/>
      <c r="G27" s="496"/>
      <c r="H27" s="114">
        <v>45444</v>
      </c>
      <c r="I27" s="66">
        <v>1</v>
      </c>
      <c r="J27" s="66" t="s">
        <v>853</v>
      </c>
      <c r="K27" s="331" t="s">
        <v>159</v>
      </c>
      <c r="L27" s="331" t="s">
        <v>1681</v>
      </c>
      <c r="M27" s="89" t="s">
        <v>855</v>
      </c>
      <c r="N27" s="66">
        <v>1</v>
      </c>
      <c r="O27" s="66">
        <v>1</v>
      </c>
      <c r="P27" s="54">
        <v>0</v>
      </c>
      <c r="Q27" s="54" t="s">
        <v>1371</v>
      </c>
    </row>
    <row r="28" spans="1:17" s="55" customFormat="1" x14ac:dyDescent="0.25">
      <c r="A28" s="54">
        <v>25</v>
      </c>
      <c r="B28" s="483"/>
      <c r="C28" s="447"/>
      <c r="D28" s="447"/>
      <c r="E28" s="495"/>
      <c r="F28" s="496"/>
      <c r="G28" s="496"/>
      <c r="H28" s="114">
        <v>45444</v>
      </c>
      <c r="I28" s="66">
        <v>1</v>
      </c>
      <c r="J28" s="66" t="s">
        <v>853</v>
      </c>
      <c r="K28" s="331" t="s">
        <v>160</v>
      </c>
      <c r="L28" s="331" t="s">
        <v>1682</v>
      </c>
      <c r="M28" s="89" t="s">
        <v>855</v>
      </c>
      <c r="N28" s="66">
        <v>1</v>
      </c>
      <c r="O28" s="66">
        <v>1</v>
      </c>
      <c r="P28" s="54">
        <v>0</v>
      </c>
      <c r="Q28" s="54" t="s">
        <v>1371</v>
      </c>
    </row>
    <row r="29" spans="1:17" s="55" customFormat="1" x14ac:dyDescent="0.25">
      <c r="A29" s="54">
        <v>26</v>
      </c>
      <c r="B29" s="483"/>
      <c r="C29" s="447"/>
      <c r="D29" s="447"/>
      <c r="E29" s="495"/>
      <c r="F29" s="496"/>
      <c r="G29" s="496"/>
      <c r="H29" s="114">
        <v>45444</v>
      </c>
      <c r="I29" s="66">
        <v>1</v>
      </c>
      <c r="J29" s="66" t="s">
        <v>853</v>
      </c>
      <c r="K29" s="331" t="s">
        <v>161</v>
      </c>
      <c r="L29" s="331" t="s">
        <v>1683</v>
      </c>
      <c r="M29" s="89" t="s">
        <v>855</v>
      </c>
      <c r="N29" s="66">
        <v>1</v>
      </c>
      <c r="O29" s="66">
        <v>1</v>
      </c>
      <c r="P29" s="54">
        <v>0</v>
      </c>
      <c r="Q29" s="54" t="s">
        <v>1371</v>
      </c>
    </row>
    <row r="30" spans="1:17" s="55" customFormat="1" x14ac:dyDescent="0.25">
      <c r="A30" s="54">
        <v>27</v>
      </c>
      <c r="B30" s="483"/>
      <c r="C30" s="447"/>
      <c r="D30" s="447"/>
      <c r="E30" s="495"/>
      <c r="F30" s="496"/>
      <c r="G30" s="496"/>
      <c r="H30" s="114">
        <v>45444</v>
      </c>
      <c r="I30" s="66">
        <v>1</v>
      </c>
      <c r="J30" s="66" t="s">
        <v>853</v>
      </c>
      <c r="K30" s="331" t="s">
        <v>162</v>
      </c>
      <c r="L30" s="331" t="s">
        <v>1684</v>
      </c>
      <c r="M30" s="89" t="s">
        <v>855</v>
      </c>
      <c r="N30" s="66">
        <v>1</v>
      </c>
      <c r="O30" s="66">
        <v>1</v>
      </c>
      <c r="P30" s="54">
        <v>0</v>
      </c>
      <c r="Q30" s="54" t="s">
        <v>1371</v>
      </c>
    </row>
    <row r="31" spans="1:17" s="55" customFormat="1" x14ac:dyDescent="0.25">
      <c r="A31" s="54">
        <v>28</v>
      </c>
      <c r="B31" s="483"/>
      <c r="C31" s="505" t="s">
        <v>45</v>
      </c>
      <c r="D31" s="505">
        <v>12</v>
      </c>
      <c r="E31" s="464" t="s">
        <v>46</v>
      </c>
      <c r="F31" s="425" t="s">
        <v>47</v>
      </c>
      <c r="G31" s="464" t="s">
        <v>116</v>
      </c>
      <c r="H31" s="62">
        <v>54244</v>
      </c>
      <c r="I31" s="54">
        <v>1</v>
      </c>
      <c r="J31" s="66" t="s">
        <v>853</v>
      </c>
      <c r="K31" s="226" t="s">
        <v>163</v>
      </c>
      <c r="L31" s="314" t="s">
        <v>1685</v>
      </c>
      <c r="M31" s="89" t="s">
        <v>855</v>
      </c>
      <c r="N31" s="54">
        <v>1</v>
      </c>
      <c r="O31" s="54">
        <v>1</v>
      </c>
      <c r="P31" s="54">
        <v>0</v>
      </c>
      <c r="Q31" s="54" t="s">
        <v>1371</v>
      </c>
    </row>
    <row r="32" spans="1:17" s="55" customFormat="1" x14ac:dyDescent="0.25">
      <c r="A32" s="54">
        <v>29</v>
      </c>
      <c r="B32" s="483"/>
      <c r="C32" s="505"/>
      <c r="D32" s="505"/>
      <c r="E32" s="464"/>
      <c r="F32" s="426"/>
      <c r="G32" s="464"/>
      <c r="H32" s="62">
        <v>54244</v>
      </c>
      <c r="I32" s="54">
        <v>1</v>
      </c>
      <c r="J32" s="66" t="s">
        <v>853</v>
      </c>
      <c r="K32" s="226" t="s">
        <v>164</v>
      </c>
      <c r="L32" s="314" t="s">
        <v>1686</v>
      </c>
      <c r="M32" s="89" t="s">
        <v>855</v>
      </c>
      <c r="N32" s="54">
        <v>1</v>
      </c>
      <c r="O32" s="54">
        <v>1</v>
      </c>
      <c r="P32" s="54">
        <v>0</v>
      </c>
      <c r="Q32" s="54" t="s">
        <v>1371</v>
      </c>
    </row>
    <row r="33" spans="1:17" s="55" customFormat="1" x14ac:dyDescent="0.25">
      <c r="A33" s="54">
        <v>30</v>
      </c>
      <c r="B33" s="483"/>
      <c r="C33" s="505"/>
      <c r="D33" s="505"/>
      <c r="E33" s="464"/>
      <c r="F33" s="426"/>
      <c r="G33" s="464"/>
      <c r="H33" s="62">
        <v>54244</v>
      </c>
      <c r="I33" s="54">
        <v>1</v>
      </c>
      <c r="J33" s="66" t="s">
        <v>853</v>
      </c>
      <c r="K33" s="226" t="s">
        <v>165</v>
      </c>
      <c r="L33" s="314" t="s">
        <v>1687</v>
      </c>
      <c r="M33" s="89" t="s">
        <v>855</v>
      </c>
      <c r="N33" s="54">
        <v>1</v>
      </c>
      <c r="O33" s="54">
        <v>1</v>
      </c>
      <c r="P33" s="54">
        <v>0</v>
      </c>
      <c r="Q33" s="54" t="s">
        <v>1371</v>
      </c>
    </row>
    <row r="34" spans="1:17" s="55" customFormat="1" x14ac:dyDescent="0.25">
      <c r="A34" s="54">
        <v>31</v>
      </c>
      <c r="B34" s="483"/>
      <c r="C34" s="505"/>
      <c r="D34" s="505"/>
      <c r="E34" s="464"/>
      <c r="F34" s="426"/>
      <c r="G34" s="464"/>
      <c r="H34" s="62">
        <v>54244</v>
      </c>
      <c r="I34" s="54">
        <v>1</v>
      </c>
      <c r="J34" s="54" t="s">
        <v>850</v>
      </c>
      <c r="K34" s="226" t="s">
        <v>166</v>
      </c>
      <c r="L34" s="314" t="s">
        <v>1688</v>
      </c>
      <c r="M34" s="89" t="s">
        <v>855</v>
      </c>
      <c r="N34" s="54">
        <v>1</v>
      </c>
      <c r="O34" s="54">
        <v>1</v>
      </c>
      <c r="P34" s="54">
        <v>0</v>
      </c>
      <c r="Q34" s="54" t="s">
        <v>1371</v>
      </c>
    </row>
    <row r="35" spans="1:17" s="55" customFormat="1" x14ac:dyDescent="0.25">
      <c r="A35" s="54">
        <v>32</v>
      </c>
      <c r="B35" s="483"/>
      <c r="C35" s="505"/>
      <c r="D35" s="505"/>
      <c r="E35" s="464"/>
      <c r="F35" s="426"/>
      <c r="G35" s="464"/>
      <c r="H35" s="62">
        <v>54244</v>
      </c>
      <c r="I35" s="54">
        <v>1</v>
      </c>
      <c r="J35" s="54" t="s">
        <v>850</v>
      </c>
      <c r="K35" s="226" t="s">
        <v>167</v>
      </c>
      <c r="L35" s="314" t="s">
        <v>1689</v>
      </c>
      <c r="M35" s="89" t="s">
        <v>855</v>
      </c>
      <c r="N35" s="54">
        <v>1</v>
      </c>
      <c r="O35" s="54">
        <v>1</v>
      </c>
      <c r="P35" s="54">
        <v>0</v>
      </c>
      <c r="Q35" s="54" t="s">
        <v>1371</v>
      </c>
    </row>
    <row r="36" spans="1:17" s="55" customFormat="1" x14ac:dyDescent="0.25">
      <c r="A36" s="54">
        <v>33</v>
      </c>
      <c r="B36" s="483"/>
      <c r="C36" s="505"/>
      <c r="D36" s="505"/>
      <c r="E36" s="464"/>
      <c r="F36" s="426"/>
      <c r="G36" s="464"/>
      <c r="H36" s="62">
        <v>54244</v>
      </c>
      <c r="I36" s="54">
        <v>1</v>
      </c>
      <c r="J36" s="54" t="s">
        <v>853</v>
      </c>
      <c r="K36" s="226" t="s">
        <v>168</v>
      </c>
      <c r="L36" s="314" t="s">
        <v>1690</v>
      </c>
      <c r="M36" s="89" t="s">
        <v>855</v>
      </c>
      <c r="N36" s="54">
        <v>1</v>
      </c>
      <c r="O36" s="54">
        <v>1</v>
      </c>
      <c r="P36" s="54">
        <v>0</v>
      </c>
      <c r="Q36" s="54" t="s">
        <v>1371</v>
      </c>
    </row>
    <row r="37" spans="1:17" s="55" customFormat="1" x14ac:dyDescent="0.25">
      <c r="A37" s="54">
        <v>34</v>
      </c>
      <c r="B37" s="483"/>
      <c r="C37" s="505"/>
      <c r="D37" s="505"/>
      <c r="E37" s="464"/>
      <c r="F37" s="426"/>
      <c r="G37" s="464"/>
      <c r="H37" s="62">
        <v>54244</v>
      </c>
      <c r="I37" s="54">
        <v>1</v>
      </c>
      <c r="J37" s="54" t="s">
        <v>852</v>
      </c>
      <c r="K37" s="226" t="s">
        <v>169</v>
      </c>
      <c r="L37" s="314" t="s">
        <v>1691</v>
      </c>
      <c r="M37" s="89" t="s">
        <v>855</v>
      </c>
      <c r="N37" s="54">
        <v>1</v>
      </c>
      <c r="O37" s="54">
        <v>1</v>
      </c>
      <c r="P37" s="54">
        <v>0</v>
      </c>
      <c r="Q37" s="54" t="s">
        <v>1371</v>
      </c>
    </row>
    <row r="38" spans="1:17" s="55" customFormat="1" x14ac:dyDescent="0.25">
      <c r="A38" s="54">
        <v>35</v>
      </c>
      <c r="B38" s="483"/>
      <c r="C38" s="505"/>
      <c r="D38" s="505"/>
      <c r="E38" s="464"/>
      <c r="F38" s="426"/>
      <c r="G38" s="464"/>
      <c r="H38" s="62">
        <v>54244</v>
      </c>
      <c r="I38" s="54">
        <v>1</v>
      </c>
      <c r="J38" s="54" t="s">
        <v>850</v>
      </c>
      <c r="K38" s="226" t="s">
        <v>170</v>
      </c>
      <c r="L38" s="314" t="s">
        <v>1692</v>
      </c>
      <c r="M38" s="89" t="s">
        <v>855</v>
      </c>
      <c r="N38" s="54">
        <v>1</v>
      </c>
      <c r="O38" s="54">
        <v>1</v>
      </c>
      <c r="P38" s="54">
        <v>0</v>
      </c>
      <c r="Q38" s="54" t="s">
        <v>1371</v>
      </c>
    </row>
    <row r="39" spans="1:17" s="55" customFormat="1" x14ac:dyDescent="0.25">
      <c r="A39" s="54">
        <v>36</v>
      </c>
      <c r="B39" s="483"/>
      <c r="C39" s="505"/>
      <c r="D39" s="505"/>
      <c r="E39" s="464"/>
      <c r="F39" s="426"/>
      <c r="G39" s="464"/>
      <c r="H39" s="62">
        <v>54244</v>
      </c>
      <c r="I39" s="54">
        <v>1</v>
      </c>
      <c r="J39" s="54" t="s">
        <v>853</v>
      </c>
      <c r="K39" s="226" t="s">
        <v>171</v>
      </c>
      <c r="L39" s="314" t="s">
        <v>1693</v>
      </c>
      <c r="M39" s="89" t="s">
        <v>855</v>
      </c>
      <c r="N39" s="54">
        <v>1</v>
      </c>
      <c r="O39" s="54">
        <v>1</v>
      </c>
      <c r="P39" s="54">
        <v>0</v>
      </c>
      <c r="Q39" s="54" t="s">
        <v>1371</v>
      </c>
    </row>
    <row r="40" spans="1:17" s="55" customFormat="1" x14ac:dyDescent="0.25">
      <c r="A40" s="54">
        <v>37</v>
      </c>
      <c r="B40" s="483"/>
      <c r="C40" s="505"/>
      <c r="D40" s="505"/>
      <c r="E40" s="464"/>
      <c r="F40" s="426"/>
      <c r="G40" s="464"/>
      <c r="H40" s="62">
        <v>54244</v>
      </c>
      <c r="I40" s="54">
        <v>1</v>
      </c>
      <c r="J40" s="54" t="s">
        <v>850</v>
      </c>
      <c r="K40" s="226" t="s">
        <v>172</v>
      </c>
      <c r="L40" s="314" t="s">
        <v>1694</v>
      </c>
      <c r="M40" s="89" t="s">
        <v>855</v>
      </c>
      <c r="N40" s="54">
        <v>1</v>
      </c>
      <c r="O40" s="54">
        <v>1</v>
      </c>
      <c r="P40" s="54">
        <v>0</v>
      </c>
      <c r="Q40" s="54" t="s">
        <v>1371</v>
      </c>
    </row>
    <row r="41" spans="1:17" s="55" customFormat="1" x14ac:dyDescent="0.25">
      <c r="A41" s="54">
        <v>38</v>
      </c>
      <c r="B41" s="483"/>
      <c r="C41" s="505"/>
      <c r="D41" s="505"/>
      <c r="E41" s="464"/>
      <c r="F41" s="426"/>
      <c r="G41" s="464"/>
      <c r="H41" s="62">
        <v>54244</v>
      </c>
      <c r="I41" s="54">
        <v>1</v>
      </c>
      <c r="J41" s="54" t="s">
        <v>850</v>
      </c>
      <c r="K41" s="226" t="s">
        <v>173</v>
      </c>
      <c r="L41" s="314" t="s">
        <v>1695</v>
      </c>
      <c r="M41" s="89" t="s">
        <v>855</v>
      </c>
      <c r="N41" s="54">
        <v>1</v>
      </c>
      <c r="O41" s="54">
        <v>1</v>
      </c>
      <c r="P41" s="54">
        <v>0</v>
      </c>
      <c r="Q41" s="54" t="s">
        <v>1371</v>
      </c>
    </row>
    <row r="42" spans="1:17" s="55" customFormat="1" x14ac:dyDescent="0.25">
      <c r="A42" s="54">
        <v>39</v>
      </c>
      <c r="B42" s="483"/>
      <c r="C42" s="506"/>
      <c r="D42" s="505"/>
      <c r="E42" s="464"/>
      <c r="F42" s="426"/>
      <c r="G42" s="464"/>
      <c r="H42" s="62">
        <v>54244</v>
      </c>
      <c r="I42" s="54">
        <v>1</v>
      </c>
      <c r="J42" s="54" t="s">
        <v>853</v>
      </c>
      <c r="K42" s="226" t="s">
        <v>174</v>
      </c>
      <c r="L42" s="314" t="s">
        <v>1696</v>
      </c>
      <c r="M42" s="89" t="s">
        <v>855</v>
      </c>
      <c r="N42" s="54">
        <v>1</v>
      </c>
      <c r="O42" s="54">
        <v>1</v>
      </c>
      <c r="P42" s="54">
        <v>0</v>
      </c>
      <c r="Q42" s="54" t="s">
        <v>1382</v>
      </c>
    </row>
    <row r="43" spans="1:17" s="55" customFormat="1" x14ac:dyDescent="0.25">
      <c r="A43" s="54">
        <v>40</v>
      </c>
      <c r="B43" s="133"/>
      <c r="C43" s="438" t="s">
        <v>857</v>
      </c>
      <c r="D43" s="438">
        <v>12</v>
      </c>
      <c r="E43" s="54" t="s">
        <v>1028</v>
      </c>
      <c r="F43" s="54" t="s">
        <v>1051</v>
      </c>
      <c r="G43" s="127" t="s">
        <v>221</v>
      </c>
      <c r="H43" s="62">
        <v>41111.4</v>
      </c>
      <c r="I43" s="54">
        <v>1</v>
      </c>
      <c r="J43" s="54" t="s">
        <v>850</v>
      </c>
      <c r="K43" s="226" t="s">
        <v>1082</v>
      </c>
      <c r="L43" s="338" t="s">
        <v>1697</v>
      </c>
      <c r="M43" s="54" t="s">
        <v>855</v>
      </c>
      <c r="N43" s="54">
        <v>1</v>
      </c>
      <c r="O43" s="54">
        <v>1</v>
      </c>
      <c r="P43" s="54">
        <v>0</v>
      </c>
      <c r="Q43" s="54" t="s">
        <v>1382</v>
      </c>
    </row>
    <row r="44" spans="1:17" s="55" customFormat="1" ht="37.5" x14ac:dyDescent="0.25">
      <c r="A44" s="54">
        <v>41</v>
      </c>
      <c r="B44" s="133"/>
      <c r="C44" s="439"/>
      <c r="D44" s="439"/>
      <c r="E44" s="54" t="s">
        <v>1027</v>
      </c>
      <c r="F44" s="54" t="s">
        <v>1051</v>
      </c>
      <c r="G44" s="127" t="s">
        <v>221</v>
      </c>
      <c r="H44" s="62">
        <v>41170</v>
      </c>
      <c r="I44" s="54">
        <v>1</v>
      </c>
      <c r="J44" s="54" t="s">
        <v>853</v>
      </c>
      <c r="K44" s="226" t="s">
        <v>858</v>
      </c>
      <c r="L44" s="314" t="s">
        <v>1698</v>
      </c>
      <c r="M44" s="54" t="s">
        <v>855</v>
      </c>
      <c r="N44" s="54">
        <v>1</v>
      </c>
      <c r="O44" s="54">
        <v>1</v>
      </c>
      <c r="P44" s="54">
        <v>0</v>
      </c>
      <c r="Q44" s="54" t="s">
        <v>859</v>
      </c>
    </row>
    <row r="45" spans="1:17" s="55" customFormat="1" x14ac:dyDescent="0.25">
      <c r="A45" s="54">
        <v>42</v>
      </c>
      <c r="B45" s="133"/>
      <c r="C45" s="439"/>
      <c r="D45" s="439"/>
      <c r="E45" s="425" t="s">
        <v>1083</v>
      </c>
      <c r="F45" s="425" t="s">
        <v>1051</v>
      </c>
      <c r="G45" s="127" t="s">
        <v>221</v>
      </c>
      <c r="H45" s="62">
        <v>41161.65</v>
      </c>
      <c r="I45" s="54">
        <v>1</v>
      </c>
      <c r="J45" s="54" t="s">
        <v>850</v>
      </c>
      <c r="K45" s="226" t="s">
        <v>1084</v>
      </c>
      <c r="L45" s="314" t="s">
        <v>1699</v>
      </c>
      <c r="M45" s="54" t="s">
        <v>855</v>
      </c>
      <c r="N45" s="54">
        <v>1</v>
      </c>
      <c r="O45" s="54">
        <v>1</v>
      </c>
      <c r="P45" s="54">
        <v>0</v>
      </c>
      <c r="Q45" s="54" t="s">
        <v>967</v>
      </c>
    </row>
    <row r="46" spans="1:17" s="55" customFormat="1" x14ac:dyDescent="0.25">
      <c r="A46" s="54">
        <v>43</v>
      </c>
      <c r="B46" s="133"/>
      <c r="C46" s="439"/>
      <c r="D46" s="439"/>
      <c r="E46" s="427"/>
      <c r="F46" s="427"/>
      <c r="G46" s="127" t="s">
        <v>221</v>
      </c>
      <c r="H46" s="62">
        <v>41161.65</v>
      </c>
      <c r="I46" s="54">
        <v>1</v>
      </c>
      <c r="J46" s="54" t="s">
        <v>850</v>
      </c>
      <c r="K46" s="226" t="s">
        <v>983</v>
      </c>
      <c r="L46" s="338" t="s">
        <v>1700</v>
      </c>
      <c r="M46" s="54" t="s">
        <v>855</v>
      </c>
      <c r="N46" s="54">
        <v>1</v>
      </c>
      <c r="O46" s="54">
        <v>1</v>
      </c>
      <c r="P46" s="54">
        <v>0</v>
      </c>
      <c r="Q46" s="54" t="s">
        <v>841</v>
      </c>
    </row>
    <row r="47" spans="1:17" s="55" customFormat="1" ht="37.5" x14ac:dyDescent="0.25">
      <c r="A47" s="54">
        <v>44</v>
      </c>
      <c r="B47" s="133"/>
      <c r="C47" s="439"/>
      <c r="D47" s="439"/>
      <c r="E47" s="54" t="s">
        <v>1028</v>
      </c>
      <c r="F47" s="54" t="s">
        <v>1051</v>
      </c>
      <c r="G47" s="127" t="s">
        <v>221</v>
      </c>
      <c r="H47" s="62">
        <v>41111.4</v>
      </c>
      <c r="I47" s="54">
        <v>1</v>
      </c>
      <c r="J47" s="54" t="s">
        <v>853</v>
      </c>
      <c r="K47" s="226" t="s">
        <v>984</v>
      </c>
      <c r="L47" s="338" t="s">
        <v>1701</v>
      </c>
      <c r="M47" s="54" t="s">
        <v>855</v>
      </c>
      <c r="N47" s="54">
        <v>1</v>
      </c>
      <c r="O47" s="54">
        <v>1</v>
      </c>
      <c r="P47" s="54">
        <v>0</v>
      </c>
      <c r="Q47" s="54" t="s">
        <v>1385</v>
      </c>
    </row>
    <row r="48" spans="1:17" s="55" customFormat="1" ht="37.5" x14ac:dyDescent="0.25">
      <c r="A48" s="54">
        <v>45</v>
      </c>
      <c r="B48" s="133"/>
      <c r="C48" s="439"/>
      <c r="D48" s="439"/>
      <c r="E48" s="425" t="s">
        <v>1027</v>
      </c>
      <c r="F48" s="425" t="s">
        <v>1051</v>
      </c>
      <c r="G48" s="127" t="s">
        <v>221</v>
      </c>
      <c r="H48" s="62">
        <v>41170</v>
      </c>
      <c r="I48" s="54">
        <v>1</v>
      </c>
      <c r="J48" s="54" t="s">
        <v>850</v>
      </c>
      <c r="K48" s="226" t="s">
        <v>1386</v>
      </c>
      <c r="L48" s="314" t="s">
        <v>1702</v>
      </c>
      <c r="M48" s="54" t="s">
        <v>855</v>
      </c>
      <c r="N48" s="54">
        <v>1</v>
      </c>
      <c r="O48" s="54">
        <v>1</v>
      </c>
      <c r="P48" s="54">
        <v>0</v>
      </c>
      <c r="Q48" s="54" t="s">
        <v>1387</v>
      </c>
    </row>
    <row r="49" spans="1:17" s="55" customFormat="1" ht="37.5" x14ac:dyDescent="0.25">
      <c r="A49" s="54">
        <v>46</v>
      </c>
      <c r="B49" s="133"/>
      <c r="C49" s="439"/>
      <c r="D49" s="439"/>
      <c r="E49" s="426"/>
      <c r="F49" s="426"/>
      <c r="G49" s="127" t="s">
        <v>221</v>
      </c>
      <c r="H49" s="62">
        <v>41170</v>
      </c>
      <c r="I49" s="54">
        <v>1</v>
      </c>
      <c r="J49" s="54" t="s">
        <v>853</v>
      </c>
      <c r="K49" s="226" t="s">
        <v>1093</v>
      </c>
      <c r="L49" s="314" t="s">
        <v>1703</v>
      </c>
      <c r="M49" s="54" t="s">
        <v>855</v>
      </c>
      <c r="N49" s="54">
        <v>1</v>
      </c>
      <c r="O49" s="54">
        <v>1</v>
      </c>
      <c r="P49" s="54">
        <v>0</v>
      </c>
      <c r="Q49" s="54" t="s">
        <v>1388</v>
      </c>
    </row>
    <row r="50" spans="1:17" s="55" customFormat="1" x14ac:dyDescent="0.25">
      <c r="A50" s="54">
        <v>47</v>
      </c>
      <c r="B50" s="133"/>
      <c r="C50" s="439"/>
      <c r="D50" s="439"/>
      <c r="E50" s="426"/>
      <c r="F50" s="426"/>
      <c r="G50" s="127" t="s">
        <v>221</v>
      </c>
      <c r="H50" s="62">
        <v>41170</v>
      </c>
      <c r="I50" s="54">
        <v>1</v>
      </c>
      <c r="J50" s="54" t="s">
        <v>850</v>
      </c>
      <c r="K50" s="226" t="s">
        <v>985</v>
      </c>
      <c r="L50" s="314" t="s">
        <v>1704</v>
      </c>
      <c r="M50" s="54" t="s">
        <v>855</v>
      </c>
      <c r="N50" s="54">
        <v>1</v>
      </c>
      <c r="O50" s="54">
        <v>1</v>
      </c>
      <c r="P50" s="54">
        <v>0</v>
      </c>
      <c r="Q50" s="54" t="s">
        <v>841</v>
      </c>
    </row>
    <row r="51" spans="1:17" s="55" customFormat="1" x14ac:dyDescent="0.25">
      <c r="A51" s="54">
        <v>48</v>
      </c>
      <c r="B51" s="133"/>
      <c r="C51" s="439"/>
      <c r="D51" s="439"/>
      <c r="E51" s="426"/>
      <c r="F51" s="426"/>
      <c r="G51" s="127" t="s">
        <v>221</v>
      </c>
      <c r="H51" s="62">
        <v>41170</v>
      </c>
      <c r="I51" s="54">
        <v>1</v>
      </c>
      <c r="J51" s="54" t="s">
        <v>850</v>
      </c>
      <c r="K51" s="226" t="s">
        <v>986</v>
      </c>
      <c r="L51" s="338" t="s">
        <v>1705</v>
      </c>
      <c r="M51" s="54" t="s">
        <v>855</v>
      </c>
      <c r="N51" s="54">
        <v>1</v>
      </c>
      <c r="O51" s="54">
        <v>1</v>
      </c>
      <c r="P51" s="54">
        <v>0</v>
      </c>
      <c r="Q51" s="54" t="s">
        <v>841</v>
      </c>
    </row>
    <row r="52" spans="1:17" s="55" customFormat="1" x14ac:dyDescent="0.25">
      <c r="A52" s="54">
        <v>49</v>
      </c>
      <c r="B52" s="133"/>
      <c r="C52" s="439"/>
      <c r="D52" s="439"/>
      <c r="E52" s="427"/>
      <c r="F52" s="427"/>
      <c r="G52" s="127" t="s">
        <v>221</v>
      </c>
      <c r="H52" s="62">
        <v>41170</v>
      </c>
      <c r="I52" s="54">
        <v>1</v>
      </c>
      <c r="J52" s="54" t="s">
        <v>850</v>
      </c>
      <c r="K52" s="226" t="s">
        <v>987</v>
      </c>
      <c r="L52" s="338" t="s">
        <v>1706</v>
      </c>
      <c r="M52" s="54" t="s">
        <v>855</v>
      </c>
      <c r="N52" s="54">
        <v>1</v>
      </c>
      <c r="O52" s="54">
        <v>1</v>
      </c>
      <c r="P52" s="54">
        <v>0</v>
      </c>
      <c r="Q52" s="54" t="s">
        <v>841</v>
      </c>
    </row>
    <row r="53" spans="1:17" s="55" customFormat="1" x14ac:dyDescent="0.25">
      <c r="A53" s="54">
        <v>50</v>
      </c>
      <c r="B53" s="133"/>
      <c r="C53" s="439"/>
      <c r="D53" s="439"/>
      <c r="E53" s="54" t="s">
        <v>1029</v>
      </c>
      <c r="F53" s="54" t="s">
        <v>1051</v>
      </c>
      <c r="G53" s="127" t="s">
        <v>221</v>
      </c>
      <c r="H53" s="62">
        <v>41161.65</v>
      </c>
      <c r="I53" s="54">
        <v>1</v>
      </c>
      <c r="J53" s="54" t="s">
        <v>850</v>
      </c>
      <c r="K53" s="226" t="s">
        <v>988</v>
      </c>
      <c r="L53" s="338" t="s">
        <v>1707</v>
      </c>
      <c r="M53" s="54" t="s">
        <v>855</v>
      </c>
      <c r="N53" s="54">
        <v>1</v>
      </c>
      <c r="O53" s="54">
        <v>1</v>
      </c>
      <c r="P53" s="54">
        <v>0</v>
      </c>
      <c r="Q53" s="54" t="s">
        <v>841</v>
      </c>
    </row>
    <row r="54" spans="1:17" s="55" customFormat="1" x14ac:dyDescent="0.25">
      <c r="A54" s="54">
        <v>51</v>
      </c>
      <c r="B54" s="133"/>
      <c r="C54" s="440"/>
      <c r="D54" s="440"/>
      <c r="E54" s="54" t="s">
        <v>1028</v>
      </c>
      <c r="F54" s="54" t="s">
        <v>1051</v>
      </c>
      <c r="G54" s="127" t="s">
        <v>221</v>
      </c>
      <c r="H54" s="62">
        <v>41111.4</v>
      </c>
      <c r="I54" s="54">
        <v>1</v>
      </c>
      <c r="J54" s="54" t="s">
        <v>850</v>
      </c>
      <c r="K54" s="226" t="s">
        <v>1087</v>
      </c>
      <c r="L54" s="338" t="s">
        <v>1708</v>
      </c>
      <c r="M54" s="54" t="s">
        <v>855</v>
      </c>
      <c r="N54" s="54">
        <v>1</v>
      </c>
      <c r="O54" s="54">
        <v>1</v>
      </c>
      <c r="P54" s="54">
        <v>0</v>
      </c>
      <c r="Q54" s="54" t="s">
        <v>841</v>
      </c>
    </row>
    <row r="55" spans="1:17" s="55" customFormat="1" x14ac:dyDescent="0.25">
      <c r="A55" s="54">
        <v>52</v>
      </c>
      <c r="B55" s="133"/>
      <c r="C55" s="128" t="s">
        <v>1149</v>
      </c>
      <c r="D55" s="128">
        <v>1</v>
      </c>
      <c r="E55" s="54" t="s">
        <v>1148</v>
      </c>
      <c r="F55" s="54" t="s">
        <v>1022</v>
      </c>
      <c r="G55" s="127" t="s">
        <v>221</v>
      </c>
      <c r="H55" s="62">
        <v>137925</v>
      </c>
      <c r="I55" s="54">
        <v>1</v>
      </c>
      <c r="J55" s="54" t="s">
        <v>853</v>
      </c>
      <c r="K55" s="226" t="s">
        <v>1150</v>
      </c>
      <c r="L55" s="226" t="s">
        <v>1709</v>
      </c>
      <c r="M55" s="54" t="s">
        <v>855</v>
      </c>
      <c r="N55" s="54">
        <v>1</v>
      </c>
      <c r="O55" s="54">
        <v>1</v>
      </c>
      <c r="P55" s="54">
        <v>0</v>
      </c>
      <c r="Q55" s="54" t="s">
        <v>1371</v>
      </c>
    </row>
    <row r="56" spans="1:17" s="68" customFormat="1" ht="37.5" x14ac:dyDescent="0.25">
      <c r="A56" s="54">
        <v>53</v>
      </c>
      <c r="B56" s="497" t="s">
        <v>677</v>
      </c>
      <c r="C56" s="54" t="s">
        <v>1062</v>
      </c>
      <c r="D56" s="54">
        <v>1</v>
      </c>
      <c r="E56" s="54" t="s">
        <v>757</v>
      </c>
      <c r="F56" s="54" t="s">
        <v>680</v>
      </c>
      <c r="G56" s="54" t="s">
        <v>758</v>
      </c>
      <c r="H56" s="57">
        <v>54652.54</v>
      </c>
      <c r="I56" s="54">
        <v>1</v>
      </c>
      <c r="J56" s="54" t="s">
        <v>850</v>
      </c>
      <c r="K56" s="226" t="s">
        <v>759</v>
      </c>
      <c r="L56" s="314" t="s">
        <v>1710</v>
      </c>
      <c r="M56" s="89" t="s">
        <v>855</v>
      </c>
      <c r="N56" s="54">
        <v>1</v>
      </c>
      <c r="O56" s="54">
        <v>1</v>
      </c>
      <c r="P56" s="54">
        <v>0</v>
      </c>
      <c r="Q56" s="54" t="s">
        <v>1402</v>
      </c>
    </row>
    <row r="57" spans="1:17" s="68" customFormat="1" ht="37.5" x14ac:dyDescent="0.25">
      <c r="A57" s="54">
        <v>54</v>
      </c>
      <c r="B57" s="497"/>
      <c r="C57" s="54" t="s">
        <v>753</v>
      </c>
      <c r="D57" s="54">
        <v>1</v>
      </c>
      <c r="E57" s="54" t="s">
        <v>754</v>
      </c>
      <c r="F57" s="54" t="s">
        <v>62</v>
      </c>
      <c r="G57" s="54" t="s">
        <v>755</v>
      </c>
      <c r="H57" s="57">
        <v>102070</v>
      </c>
      <c r="I57" s="54">
        <v>1</v>
      </c>
      <c r="J57" s="54" t="s">
        <v>852</v>
      </c>
      <c r="K57" s="226" t="s">
        <v>756</v>
      </c>
      <c r="L57" s="226" t="s">
        <v>1711</v>
      </c>
      <c r="M57" s="89" t="s">
        <v>855</v>
      </c>
      <c r="N57" s="54">
        <v>1</v>
      </c>
      <c r="O57" s="54">
        <v>1</v>
      </c>
      <c r="P57" s="54">
        <v>0</v>
      </c>
      <c r="Q57" s="54" t="s">
        <v>1371</v>
      </c>
    </row>
    <row r="58" spans="1:17" s="68" customFormat="1" ht="37.5" x14ac:dyDescent="0.25">
      <c r="A58" s="54">
        <v>55</v>
      </c>
      <c r="B58" s="497"/>
      <c r="C58" s="54" t="s">
        <v>685</v>
      </c>
      <c r="D58" s="54">
        <v>1</v>
      </c>
      <c r="E58" s="54" t="s">
        <v>686</v>
      </c>
      <c r="F58" s="54" t="s">
        <v>687</v>
      </c>
      <c r="G58" s="54" t="s">
        <v>688</v>
      </c>
      <c r="H58" s="57">
        <v>62813.55</v>
      </c>
      <c r="I58" s="54">
        <v>1</v>
      </c>
      <c r="J58" s="54" t="s">
        <v>853</v>
      </c>
      <c r="K58" s="226" t="s">
        <v>689</v>
      </c>
      <c r="L58" s="314" t="s">
        <v>1712</v>
      </c>
      <c r="M58" s="89" t="s">
        <v>855</v>
      </c>
      <c r="N58" s="54">
        <v>1</v>
      </c>
      <c r="O58" s="54">
        <v>1</v>
      </c>
      <c r="P58" s="54">
        <v>0</v>
      </c>
      <c r="Q58" s="54" t="s">
        <v>1401</v>
      </c>
    </row>
    <row r="59" spans="1:17" s="68" customFormat="1" ht="37.5" x14ac:dyDescent="0.25">
      <c r="A59" s="54">
        <v>56</v>
      </c>
      <c r="B59" s="497"/>
      <c r="C59" s="498" t="s">
        <v>690</v>
      </c>
      <c r="D59" s="498">
        <v>6</v>
      </c>
      <c r="E59" s="54" t="s">
        <v>691</v>
      </c>
      <c r="F59" s="54" t="s">
        <v>680</v>
      </c>
      <c r="G59" s="54" t="s">
        <v>692</v>
      </c>
      <c r="H59" s="57">
        <v>66558.48</v>
      </c>
      <c r="I59" s="54">
        <v>1</v>
      </c>
      <c r="J59" s="54" t="s">
        <v>853</v>
      </c>
      <c r="K59" s="226" t="s">
        <v>693</v>
      </c>
      <c r="L59" s="314" t="s">
        <v>1713</v>
      </c>
      <c r="M59" s="89" t="s">
        <v>855</v>
      </c>
      <c r="N59" s="54">
        <v>1</v>
      </c>
      <c r="O59" s="54">
        <v>1</v>
      </c>
      <c r="P59" s="54">
        <v>0</v>
      </c>
      <c r="Q59" s="54" t="s">
        <v>1371</v>
      </c>
    </row>
    <row r="60" spans="1:17" s="68" customFormat="1" x14ac:dyDescent="0.25">
      <c r="A60" s="54">
        <v>57</v>
      </c>
      <c r="B60" s="497"/>
      <c r="C60" s="499"/>
      <c r="D60" s="499"/>
      <c r="E60" s="425" t="s">
        <v>705</v>
      </c>
      <c r="F60" s="425" t="s">
        <v>706</v>
      </c>
      <c r="G60" s="425" t="s">
        <v>707</v>
      </c>
      <c r="H60" s="57">
        <v>63557.63</v>
      </c>
      <c r="I60" s="54">
        <v>1</v>
      </c>
      <c r="J60" s="54" t="s">
        <v>853</v>
      </c>
      <c r="K60" s="226" t="s">
        <v>708</v>
      </c>
      <c r="L60" s="314" t="s">
        <v>1714</v>
      </c>
      <c r="M60" s="89" t="s">
        <v>855</v>
      </c>
      <c r="N60" s="54">
        <v>1</v>
      </c>
      <c r="O60" s="54">
        <v>1</v>
      </c>
      <c r="P60" s="54">
        <v>0</v>
      </c>
      <c r="Q60" s="54" t="s">
        <v>1371</v>
      </c>
    </row>
    <row r="61" spans="1:17" s="68" customFormat="1" x14ac:dyDescent="0.25">
      <c r="A61" s="54">
        <v>58</v>
      </c>
      <c r="B61" s="497"/>
      <c r="C61" s="499"/>
      <c r="D61" s="499"/>
      <c r="E61" s="426"/>
      <c r="F61" s="426"/>
      <c r="G61" s="426"/>
      <c r="H61" s="57">
        <v>63557.63</v>
      </c>
      <c r="I61" s="54">
        <v>1</v>
      </c>
      <c r="J61" s="54" t="s">
        <v>853</v>
      </c>
      <c r="K61" s="226" t="s">
        <v>709</v>
      </c>
      <c r="L61" s="338" t="s">
        <v>1715</v>
      </c>
      <c r="M61" s="89" t="s">
        <v>855</v>
      </c>
      <c r="N61" s="54">
        <v>1</v>
      </c>
      <c r="O61" s="54">
        <v>1</v>
      </c>
      <c r="P61" s="54">
        <v>0</v>
      </c>
      <c r="Q61" s="54" t="s">
        <v>1371</v>
      </c>
    </row>
    <row r="62" spans="1:17" s="68" customFormat="1" x14ac:dyDescent="0.25">
      <c r="A62" s="54">
        <v>59</v>
      </c>
      <c r="B62" s="497"/>
      <c r="C62" s="499"/>
      <c r="D62" s="499"/>
      <c r="E62" s="427"/>
      <c r="F62" s="427"/>
      <c r="G62" s="427"/>
      <c r="H62" s="57">
        <v>63557.63</v>
      </c>
      <c r="I62" s="54">
        <v>1</v>
      </c>
      <c r="J62" s="54" t="s">
        <v>852</v>
      </c>
      <c r="K62" s="226" t="s">
        <v>714</v>
      </c>
      <c r="L62" s="314" t="s">
        <v>1716</v>
      </c>
      <c r="M62" s="89" t="s">
        <v>855</v>
      </c>
      <c r="N62" s="54">
        <v>1</v>
      </c>
      <c r="O62" s="54">
        <v>1</v>
      </c>
      <c r="P62" s="54">
        <v>0</v>
      </c>
      <c r="Q62" s="54" t="s">
        <v>1371</v>
      </c>
    </row>
    <row r="63" spans="1:17" s="68" customFormat="1" x14ac:dyDescent="0.25">
      <c r="A63" s="54">
        <v>60</v>
      </c>
      <c r="B63" s="497"/>
      <c r="C63" s="499"/>
      <c r="D63" s="499"/>
      <c r="E63" s="425" t="s">
        <v>727</v>
      </c>
      <c r="F63" s="425" t="s">
        <v>680</v>
      </c>
      <c r="G63" s="425" t="s">
        <v>728</v>
      </c>
      <c r="H63" s="57">
        <v>73999</v>
      </c>
      <c r="I63" s="54">
        <v>1</v>
      </c>
      <c r="J63" s="54" t="s">
        <v>853</v>
      </c>
      <c r="K63" s="226" t="s">
        <v>729</v>
      </c>
      <c r="L63" s="314" t="s">
        <v>1717</v>
      </c>
      <c r="M63" s="89" t="s">
        <v>855</v>
      </c>
      <c r="N63" s="54">
        <v>1</v>
      </c>
      <c r="O63" s="54">
        <v>1</v>
      </c>
      <c r="P63" s="54">
        <v>0</v>
      </c>
      <c r="Q63" s="54" t="s">
        <v>1382</v>
      </c>
    </row>
    <row r="64" spans="1:17" s="68" customFormat="1" x14ac:dyDescent="0.25">
      <c r="A64" s="54">
        <v>61</v>
      </c>
      <c r="B64" s="497"/>
      <c r="C64" s="500"/>
      <c r="D64" s="500"/>
      <c r="E64" s="427"/>
      <c r="F64" s="427"/>
      <c r="G64" s="427"/>
      <c r="H64" s="57">
        <v>73999</v>
      </c>
      <c r="I64" s="54">
        <v>1</v>
      </c>
      <c r="J64" s="54" t="s">
        <v>853</v>
      </c>
      <c r="K64" s="226" t="s">
        <v>752</v>
      </c>
      <c r="L64" s="338" t="s">
        <v>1718</v>
      </c>
      <c r="M64" s="89" t="s">
        <v>855</v>
      </c>
      <c r="N64" s="54">
        <v>1</v>
      </c>
      <c r="O64" s="54">
        <v>1</v>
      </c>
      <c r="P64" s="54">
        <v>0</v>
      </c>
      <c r="Q64" s="54" t="s">
        <v>1371</v>
      </c>
    </row>
    <row r="65" spans="1:17" s="68" customFormat="1" x14ac:dyDescent="0.25">
      <c r="A65" s="54">
        <v>62</v>
      </c>
      <c r="B65" s="497"/>
      <c r="C65" s="509" t="s">
        <v>715</v>
      </c>
      <c r="D65" s="509">
        <v>6</v>
      </c>
      <c r="E65" s="425" t="s">
        <v>716</v>
      </c>
      <c r="F65" s="425" t="s">
        <v>711</v>
      </c>
      <c r="G65" s="425" t="s">
        <v>717</v>
      </c>
      <c r="H65" s="57">
        <v>67386.990000000005</v>
      </c>
      <c r="I65" s="54">
        <v>1</v>
      </c>
      <c r="J65" s="54" t="s">
        <v>853</v>
      </c>
      <c r="K65" s="226" t="s">
        <v>718</v>
      </c>
      <c r="L65" s="338" t="s">
        <v>1719</v>
      </c>
      <c r="M65" s="89" t="s">
        <v>855</v>
      </c>
      <c r="N65" s="54">
        <v>1</v>
      </c>
      <c r="O65" s="54">
        <v>1</v>
      </c>
      <c r="P65" s="54">
        <v>0</v>
      </c>
      <c r="Q65" s="54" t="s">
        <v>1371</v>
      </c>
    </row>
    <row r="66" spans="1:17" s="68" customFormat="1" x14ac:dyDescent="0.25">
      <c r="A66" s="54">
        <v>63</v>
      </c>
      <c r="B66" s="497"/>
      <c r="C66" s="510"/>
      <c r="D66" s="510"/>
      <c r="E66" s="426"/>
      <c r="F66" s="426"/>
      <c r="G66" s="426"/>
      <c r="H66" s="57">
        <v>67386.990000000005</v>
      </c>
      <c r="I66" s="54">
        <v>1</v>
      </c>
      <c r="J66" s="54" t="s">
        <v>853</v>
      </c>
      <c r="K66" s="226" t="s">
        <v>732</v>
      </c>
      <c r="L66" s="314" t="s">
        <v>1720</v>
      </c>
      <c r="M66" s="89" t="s">
        <v>855</v>
      </c>
      <c r="N66" s="54">
        <v>1</v>
      </c>
      <c r="O66" s="54">
        <v>1</v>
      </c>
      <c r="P66" s="54">
        <v>0</v>
      </c>
      <c r="Q66" s="54" t="s">
        <v>1371</v>
      </c>
    </row>
    <row r="67" spans="1:17" s="68" customFormat="1" x14ac:dyDescent="0.25">
      <c r="A67" s="54">
        <v>64</v>
      </c>
      <c r="B67" s="497"/>
      <c r="C67" s="510"/>
      <c r="D67" s="510"/>
      <c r="E67" s="426"/>
      <c r="F67" s="426"/>
      <c r="G67" s="426"/>
      <c r="H67" s="54">
        <v>57107.62</v>
      </c>
      <c r="I67" s="54">
        <v>1</v>
      </c>
      <c r="J67" s="54" t="s">
        <v>853</v>
      </c>
      <c r="K67" s="226" t="s">
        <v>735</v>
      </c>
      <c r="L67" s="338" t="s">
        <v>1721</v>
      </c>
      <c r="M67" s="89" t="s">
        <v>855</v>
      </c>
      <c r="N67" s="54">
        <v>1</v>
      </c>
      <c r="O67" s="54">
        <v>1</v>
      </c>
      <c r="P67" s="54">
        <v>0</v>
      </c>
      <c r="Q67" s="54" t="s">
        <v>1371</v>
      </c>
    </row>
    <row r="68" spans="1:17" s="68" customFormat="1" x14ac:dyDescent="0.25">
      <c r="A68" s="54">
        <v>65</v>
      </c>
      <c r="B68" s="497"/>
      <c r="C68" s="510"/>
      <c r="D68" s="510"/>
      <c r="E68" s="427"/>
      <c r="F68" s="427"/>
      <c r="G68" s="427"/>
      <c r="H68" s="54">
        <v>57107.62</v>
      </c>
      <c r="I68" s="54">
        <v>1</v>
      </c>
      <c r="J68" s="54" t="s">
        <v>853</v>
      </c>
      <c r="K68" s="226" t="s">
        <v>736</v>
      </c>
      <c r="L68" s="338" t="s">
        <v>1722</v>
      </c>
      <c r="M68" s="89" t="s">
        <v>855</v>
      </c>
      <c r="N68" s="54">
        <v>1</v>
      </c>
      <c r="O68" s="54">
        <v>1</v>
      </c>
      <c r="P68" s="54">
        <v>0</v>
      </c>
      <c r="Q68" s="54" t="s">
        <v>1371</v>
      </c>
    </row>
    <row r="69" spans="1:17" s="68" customFormat="1" ht="37.5" x14ac:dyDescent="0.25">
      <c r="A69" s="54">
        <v>66</v>
      </c>
      <c r="B69" s="497"/>
      <c r="C69" s="510"/>
      <c r="D69" s="510"/>
      <c r="E69" s="54" t="s">
        <v>742</v>
      </c>
      <c r="F69" s="54" t="s">
        <v>743</v>
      </c>
      <c r="G69" s="54" t="s">
        <v>744</v>
      </c>
      <c r="H69" s="57">
        <v>59990</v>
      </c>
      <c r="I69" s="54">
        <v>1</v>
      </c>
      <c r="J69" s="54" t="s">
        <v>850</v>
      </c>
      <c r="K69" s="226" t="s">
        <v>745</v>
      </c>
      <c r="L69" s="226" t="s">
        <v>1723</v>
      </c>
      <c r="M69" s="89" t="s">
        <v>855</v>
      </c>
      <c r="N69" s="54">
        <v>1</v>
      </c>
      <c r="O69" s="54">
        <v>1</v>
      </c>
      <c r="P69" s="54">
        <v>0</v>
      </c>
      <c r="Q69" s="54" t="s">
        <v>1371</v>
      </c>
    </row>
    <row r="70" spans="1:17" s="68" customFormat="1" ht="56.25" x14ac:dyDescent="0.25">
      <c r="A70" s="54">
        <v>67</v>
      </c>
      <c r="B70" s="497"/>
      <c r="C70" s="511"/>
      <c r="D70" s="511"/>
      <c r="E70" s="54" t="s">
        <v>738</v>
      </c>
      <c r="F70" s="54" t="s">
        <v>739</v>
      </c>
      <c r="G70" s="54" t="s">
        <v>740</v>
      </c>
      <c r="H70" s="57">
        <v>51723.3</v>
      </c>
      <c r="I70" s="54">
        <v>1</v>
      </c>
      <c r="J70" s="54" t="s">
        <v>853</v>
      </c>
      <c r="K70" s="226" t="s">
        <v>741</v>
      </c>
      <c r="L70" s="338" t="s">
        <v>1724</v>
      </c>
      <c r="M70" s="89" t="s">
        <v>855</v>
      </c>
      <c r="N70" s="54">
        <v>1</v>
      </c>
      <c r="O70" s="54">
        <v>1</v>
      </c>
      <c r="P70" s="54">
        <v>0</v>
      </c>
      <c r="Q70" s="54" t="s">
        <v>1371</v>
      </c>
    </row>
    <row r="71" spans="1:17" s="68" customFormat="1" ht="37.5" x14ac:dyDescent="0.25">
      <c r="A71" s="54">
        <v>68</v>
      </c>
      <c r="B71" s="497"/>
      <c r="C71" s="54" t="s">
        <v>699</v>
      </c>
      <c r="D71" s="54">
        <v>1</v>
      </c>
      <c r="E71" s="54" t="s">
        <v>700</v>
      </c>
      <c r="F71" s="54" t="s">
        <v>701</v>
      </c>
      <c r="G71" s="54" t="s">
        <v>702</v>
      </c>
      <c r="H71" s="57">
        <v>74699</v>
      </c>
      <c r="I71" s="54">
        <v>1</v>
      </c>
      <c r="J71" s="54" t="s">
        <v>850</v>
      </c>
      <c r="K71" s="226" t="s">
        <v>703</v>
      </c>
      <c r="L71" s="338" t="s">
        <v>1725</v>
      </c>
      <c r="M71" s="89" t="s">
        <v>855</v>
      </c>
      <c r="N71" s="54">
        <v>1</v>
      </c>
      <c r="O71" s="54">
        <v>1</v>
      </c>
      <c r="P71" s="54">
        <v>0</v>
      </c>
      <c r="Q71" s="54" t="s">
        <v>1382</v>
      </c>
    </row>
    <row r="72" spans="1:17" s="68" customFormat="1" x14ac:dyDescent="0.25">
      <c r="A72" s="54">
        <v>69</v>
      </c>
      <c r="B72" s="497"/>
      <c r="C72" s="54" t="s">
        <v>681</v>
      </c>
      <c r="D72" s="54">
        <v>1</v>
      </c>
      <c r="E72" s="54" t="s">
        <v>682</v>
      </c>
      <c r="F72" s="54" t="s">
        <v>683</v>
      </c>
      <c r="G72" s="54" t="s">
        <v>682</v>
      </c>
      <c r="H72" s="57">
        <v>62181</v>
      </c>
      <c r="I72" s="54">
        <v>1</v>
      </c>
      <c r="J72" s="54" t="s">
        <v>853</v>
      </c>
      <c r="K72" s="340" t="s">
        <v>684</v>
      </c>
      <c r="L72" s="338" t="s">
        <v>1726</v>
      </c>
      <c r="M72" s="89" t="s">
        <v>855</v>
      </c>
      <c r="N72" s="54">
        <v>1</v>
      </c>
      <c r="O72" s="54">
        <v>1</v>
      </c>
      <c r="P72" s="54">
        <v>0</v>
      </c>
      <c r="Q72" s="54" t="s">
        <v>1371</v>
      </c>
    </row>
    <row r="73" spans="1:17" s="68" customFormat="1" x14ac:dyDescent="0.25">
      <c r="A73" s="54">
        <v>70</v>
      </c>
      <c r="B73" s="497"/>
      <c r="C73" s="512" t="s">
        <v>720</v>
      </c>
      <c r="D73" s="512">
        <v>10</v>
      </c>
      <c r="E73" s="425" t="s">
        <v>721</v>
      </c>
      <c r="F73" s="425" t="s">
        <v>722</v>
      </c>
      <c r="G73" s="425" t="s">
        <v>723</v>
      </c>
      <c r="H73" s="57">
        <v>99000</v>
      </c>
      <c r="I73" s="54">
        <v>1</v>
      </c>
      <c r="J73" s="54" t="s">
        <v>850</v>
      </c>
      <c r="K73" s="226" t="s">
        <v>724</v>
      </c>
      <c r="L73" s="338" t="s">
        <v>1727</v>
      </c>
      <c r="M73" s="89" t="s">
        <v>855</v>
      </c>
      <c r="N73" s="54">
        <v>1</v>
      </c>
      <c r="O73" s="54">
        <v>1</v>
      </c>
      <c r="P73" s="54">
        <v>0</v>
      </c>
      <c r="Q73" s="54" t="s">
        <v>1371</v>
      </c>
    </row>
    <row r="74" spans="1:17" s="68" customFormat="1" x14ac:dyDescent="0.25">
      <c r="A74" s="54">
        <v>71</v>
      </c>
      <c r="B74" s="497"/>
      <c r="C74" s="513"/>
      <c r="D74" s="513"/>
      <c r="E74" s="426"/>
      <c r="F74" s="426"/>
      <c r="G74" s="426"/>
      <c r="H74" s="57">
        <v>99000</v>
      </c>
      <c r="I74" s="54">
        <v>1</v>
      </c>
      <c r="J74" s="54" t="s">
        <v>853</v>
      </c>
      <c r="K74" s="226" t="s">
        <v>725</v>
      </c>
      <c r="L74" s="314" t="s">
        <v>1728</v>
      </c>
      <c r="M74" s="89" t="s">
        <v>855</v>
      </c>
      <c r="N74" s="54">
        <v>1</v>
      </c>
      <c r="O74" s="54">
        <v>1</v>
      </c>
      <c r="P74" s="54">
        <v>0</v>
      </c>
      <c r="Q74" s="54" t="s">
        <v>1371</v>
      </c>
    </row>
    <row r="75" spans="1:17" s="68" customFormat="1" x14ac:dyDescent="0.25">
      <c r="A75" s="54">
        <v>72</v>
      </c>
      <c r="B75" s="497"/>
      <c r="C75" s="513"/>
      <c r="D75" s="513"/>
      <c r="E75" s="426"/>
      <c r="F75" s="426"/>
      <c r="G75" s="426"/>
      <c r="H75" s="57">
        <v>99000</v>
      </c>
      <c r="I75" s="54">
        <v>1</v>
      </c>
      <c r="J75" s="54" t="s">
        <v>850</v>
      </c>
      <c r="K75" s="226" t="s">
        <v>730</v>
      </c>
      <c r="L75" s="314" t="s">
        <v>1729</v>
      </c>
      <c r="M75" s="89" t="s">
        <v>855</v>
      </c>
      <c r="N75" s="54">
        <v>1</v>
      </c>
      <c r="O75" s="54">
        <v>1</v>
      </c>
      <c r="P75" s="54">
        <v>0</v>
      </c>
      <c r="Q75" s="54" t="s">
        <v>1371</v>
      </c>
    </row>
    <row r="76" spans="1:17" s="68" customFormat="1" x14ac:dyDescent="0.25">
      <c r="A76" s="54">
        <v>73</v>
      </c>
      <c r="B76" s="497"/>
      <c r="C76" s="513"/>
      <c r="D76" s="513"/>
      <c r="E76" s="426"/>
      <c r="F76" s="426"/>
      <c r="G76" s="426"/>
      <c r="H76" s="57">
        <v>99000</v>
      </c>
      <c r="I76" s="54">
        <v>1</v>
      </c>
      <c r="J76" s="54" t="s">
        <v>850</v>
      </c>
      <c r="K76" s="226" t="s">
        <v>737</v>
      </c>
      <c r="L76" s="314" t="s">
        <v>1730</v>
      </c>
      <c r="M76" s="89" t="s">
        <v>855</v>
      </c>
      <c r="N76" s="54">
        <v>1</v>
      </c>
      <c r="O76" s="54">
        <v>1</v>
      </c>
      <c r="P76" s="54">
        <v>0</v>
      </c>
      <c r="Q76" s="54" t="s">
        <v>1371</v>
      </c>
    </row>
    <row r="77" spans="1:17" s="68" customFormat="1" x14ac:dyDescent="0.25">
      <c r="A77" s="54">
        <v>74</v>
      </c>
      <c r="B77" s="497"/>
      <c r="C77" s="513"/>
      <c r="D77" s="513"/>
      <c r="E77" s="426"/>
      <c r="F77" s="426"/>
      <c r="G77" s="426"/>
      <c r="H77" s="57">
        <v>99000</v>
      </c>
      <c r="I77" s="54">
        <v>1</v>
      </c>
      <c r="J77" s="54" t="s">
        <v>850</v>
      </c>
      <c r="K77" s="226" t="s">
        <v>746</v>
      </c>
      <c r="L77" s="314" t="s">
        <v>1731</v>
      </c>
      <c r="M77" s="89" t="s">
        <v>855</v>
      </c>
      <c r="N77" s="54">
        <v>1</v>
      </c>
      <c r="O77" s="54">
        <v>1</v>
      </c>
      <c r="P77" s="54">
        <v>0</v>
      </c>
      <c r="Q77" s="54" t="s">
        <v>1371</v>
      </c>
    </row>
    <row r="78" spans="1:17" s="68" customFormat="1" x14ac:dyDescent="0.25">
      <c r="A78" s="54">
        <v>75</v>
      </c>
      <c r="B78" s="497"/>
      <c r="C78" s="513"/>
      <c r="D78" s="513"/>
      <c r="E78" s="427"/>
      <c r="F78" s="427"/>
      <c r="G78" s="427"/>
      <c r="H78" s="57">
        <v>99000</v>
      </c>
      <c r="I78" s="54">
        <v>1</v>
      </c>
      <c r="J78" s="54" t="s">
        <v>850</v>
      </c>
      <c r="K78" s="226" t="s">
        <v>747</v>
      </c>
      <c r="L78" s="314" t="s">
        <v>1732</v>
      </c>
      <c r="M78" s="89" t="s">
        <v>855</v>
      </c>
      <c r="N78" s="54">
        <v>1</v>
      </c>
      <c r="O78" s="54">
        <v>1</v>
      </c>
      <c r="P78" s="54">
        <v>0</v>
      </c>
      <c r="Q78" s="54" t="s">
        <v>1371</v>
      </c>
    </row>
    <row r="79" spans="1:17" s="68" customFormat="1" x14ac:dyDescent="0.25">
      <c r="A79" s="54">
        <v>76</v>
      </c>
      <c r="B79" s="497"/>
      <c r="C79" s="513"/>
      <c r="D79" s="513"/>
      <c r="E79" s="425" t="s">
        <v>748</v>
      </c>
      <c r="F79" s="425" t="s">
        <v>711</v>
      </c>
      <c r="G79" s="425" t="s">
        <v>749</v>
      </c>
      <c r="H79" s="54">
        <v>110105.49</v>
      </c>
      <c r="I79" s="54">
        <v>1</v>
      </c>
      <c r="J79" s="54" t="s">
        <v>850</v>
      </c>
      <c r="K79" s="226" t="s">
        <v>750</v>
      </c>
      <c r="L79" s="314" t="s">
        <v>1733</v>
      </c>
      <c r="M79" s="89" t="s">
        <v>855</v>
      </c>
      <c r="N79" s="54">
        <v>1</v>
      </c>
      <c r="O79" s="54">
        <v>1</v>
      </c>
      <c r="P79" s="54">
        <v>0</v>
      </c>
      <c r="Q79" s="54" t="s">
        <v>1371</v>
      </c>
    </row>
    <row r="80" spans="1:17" s="68" customFormat="1" x14ac:dyDescent="0.25">
      <c r="A80" s="54">
        <v>77</v>
      </c>
      <c r="B80" s="497"/>
      <c r="C80" s="513"/>
      <c r="D80" s="513"/>
      <c r="E80" s="427"/>
      <c r="F80" s="427"/>
      <c r="G80" s="427"/>
      <c r="H80" s="54">
        <v>110105.49</v>
      </c>
      <c r="I80" s="54">
        <v>1</v>
      </c>
      <c r="J80" s="54" t="s">
        <v>850</v>
      </c>
      <c r="K80" s="226" t="s">
        <v>751</v>
      </c>
      <c r="L80" s="314" t="s">
        <v>1734</v>
      </c>
      <c r="M80" s="89" t="s">
        <v>855</v>
      </c>
      <c r="N80" s="54">
        <v>1</v>
      </c>
      <c r="O80" s="54">
        <v>1</v>
      </c>
      <c r="P80" s="54">
        <v>0</v>
      </c>
      <c r="Q80" s="54" t="s">
        <v>1371</v>
      </c>
    </row>
    <row r="81" spans="1:17" s="176" customFormat="1" ht="37.5" x14ac:dyDescent="0.25">
      <c r="A81" s="89">
        <v>78</v>
      </c>
      <c r="B81" s="497"/>
      <c r="C81" s="513"/>
      <c r="D81" s="513"/>
      <c r="E81" s="425" t="s">
        <v>710</v>
      </c>
      <c r="F81" s="425" t="s">
        <v>711</v>
      </c>
      <c r="G81" s="425" t="s">
        <v>712</v>
      </c>
      <c r="H81" s="89">
        <v>93060.78</v>
      </c>
      <c r="I81" s="89">
        <v>1</v>
      </c>
      <c r="J81" s="89" t="s">
        <v>853</v>
      </c>
      <c r="K81" s="331" t="s">
        <v>713</v>
      </c>
      <c r="L81" s="314" t="s">
        <v>1735</v>
      </c>
      <c r="M81" s="89" t="s">
        <v>855</v>
      </c>
      <c r="N81" s="89">
        <v>1</v>
      </c>
      <c r="O81" s="89">
        <v>1</v>
      </c>
      <c r="P81" s="89">
        <v>0</v>
      </c>
      <c r="Q81" s="89" t="s">
        <v>1383</v>
      </c>
    </row>
    <row r="82" spans="1:17" s="68" customFormat="1" x14ac:dyDescent="0.25">
      <c r="A82" s="54">
        <v>79</v>
      </c>
      <c r="B82" s="497"/>
      <c r="C82" s="514"/>
      <c r="D82" s="514"/>
      <c r="E82" s="427"/>
      <c r="F82" s="427"/>
      <c r="G82" s="427"/>
      <c r="H82" s="54">
        <v>93060.78</v>
      </c>
      <c r="I82" s="54">
        <v>1</v>
      </c>
      <c r="J82" s="54" t="s">
        <v>852</v>
      </c>
      <c r="K82" s="226" t="s">
        <v>719</v>
      </c>
      <c r="L82" s="338" t="s">
        <v>1736</v>
      </c>
      <c r="M82" s="89" t="s">
        <v>855</v>
      </c>
      <c r="N82" s="54">
        <v>1</v>
      </c>
      <c r="O82" s="54">
        <v>1</v>
      </c>
      <c r="P82" s="54">
        <v>0</v>
      </c>
      <c r="Q82" s="54" t="s">
        <v>1371</v>
      </c>
    </row>
    <row r="83" spans="1:17" s="68" customFormat="1" x14ac:dyDescent="0.25">
      <c r="A83" s="54">
        <v>80</v>
      </c>
      <c r="B83" s="497"/>
      <c r="C83" s="489" t="s">
        <v>694</v>
      </c>
      <c r="D83" s="489">
        <v>6</v>
      </c>
      <c r="E83" s="425" t="s">
        <v>695</v>
      </c>
      <c r="F83" s="425" t="s">
        <v>696</v>
      </c>
      <c r="G83" s="425" t="s">
        <v>697</v>
      </c>
      <c r="H83" s="57">
        <v>74000</v>
      </c>
      <c r="I83" s="54">
        <v>1</v>
      </c>
      <c r="J83" s="54" t="s">
        <v>853</v>
      </c>
      <c r="K83" s="226" t="s">
        <v>698</v>
      </c>
      <c r="L83" s="314" t="s">
        <v>1737</v>
      </c>
      <c r="M83" s="89" t="s">
        <v>855</v>
      </c>
      <c r="N83" s="54">
        <v>1</v>
      </c>
      <c r="O83" s="54">
        <v>1</v>
      </c>
      <c r="P83" s="54">
        <v>0</v>
      </c>
      <c r="Q83" s="54" t="s">
        <v>1371</v>
      </c>
    </row>
    <row r="84" spans="1:17" s="68" customFormat="1" x14ac:dyDescent="0.25">
      <c r="A84" s="54">
        <v>81</v>
      </c>
      <c r="B84" s="497"/>
      <c r="C84" s="490"/>
      <c r="D84" s="490"/>
      <c r="E84" s="426"/>
      <c r="F84" s="426"/>
      <c r="G84" s="426"/>
      <c r="H84" s="57">
        <v>74000</v>
      </c>
      <c r="I84" s="54">
        <v>1</v>
      </c>
      <c r="J84" s="54" t="s">
        <v>853</v>
      </c>
      <c r="K84" s="226" t="s">
        <v>704</v>
      </c>
      <c r="L84" s="314" t="s">
        <v>1738</v>
      </c>
      <c r="M84" s="89" t="s">
        <v>855</v>
      </c>
      <c r="N84" s="54">
        <v>1</v>
      </c>
      <c r="O84" s="54">
        <v>1</v>
      </c>
      <c r="P84" s="54">
        <v>0</v>
      </c>
      <c r="Q84" s="54" t="s">
        <v>1389</v>
      </c>
    </row>
    <row r="85" spans="1:17" s="68" customFormat="1" x14ac:dyDescent="0.25">
      <c r="A85" s="54">
        <v>82</v>
      </c>
      <c r="B85" s="497"/>
      <c r="C85" s="490"/>
      <c r="D85" s="490"/>
      <c r="E85" s="426"/>
      <c r="F85" s="426"/>
      <c r="G85" s="426"/>
      <c r="H85" s="57">
        <v>74000</v>
      </c>
      <c r="I85" s="54">
        <v>1</v>
      </c>
      <c r="J85" s="54" t="s">
        <v>853</v>
      </c>
      <c r="K85" s="226" t="s">
        <v>726</v>
      </c>
      <c r="L85" s="314" t="s">
        <v>1739</v>
      </c>
      <c r="M85" s="89" t="s">
        <v>855</v>
      </c>
      <c r="N85" s="54">
        <v>1</v>
      </c>
      <c r="O85" s="54">
        <v>1</v>
      </c>
      <c r="P85" s="54">
        <v>0</v>
      </c>
      <c r="Q85" s="54" t="s">
        <v>1371</v>
      </c>
    </row>
    <row r="86" spans="1:17" s="68" customFormat="1" x14ac:dyDescent="0.25">
      <c r="A86" s="54">
        <v>83</v>
      </c>
      <c r="B86" s="497"/>
      <c r="C86" s="490"/>
      <c r="D86" s="490"/>
      <c r="E86" s="426"/>
      <c r="F86" s="426"/>
      <c r="G86" s="426"/>
      <c r="H86" s="57">
        <v>74000</v>
      </c>
      <c r="I86" s="54">
        <v>1</v>
      </c>
      <c r="J86" s="54" t="s">
        <v>853</v>
      </c>
      <c r="K86" s="226" t="s">
        <v>731</v>
      </c>
      <c r="L86" s="314" t="s">
        <v>1740</v>
      </c>
      <c r="M86" s="89" t="s">
        <v>855</v>
      </c>
      <c r="N86" s="54">
        <v>1</v>
      </c>
      <c r="O86" s="54">
        <v>1</v>
      </c>
      <c r="P86" s="54">
        <v>0</v>
      </c>
      <c r="Q86" s="54" t="s">
        <v>1371</v>
      </c>
    </row>
    <row r="87" spans="1:17" s="55" customFormat="1" x14ac:dyDescent="0.25">
      <c r="A87" s="54">
        <v>84</v>
      </c>
      <c r="B87" s="497"/>
      <c r="C87" s="490"/>
      <c r="D87" s="490"/>
      <c r="E87" s="426"/>
      <c r="F87" s="426"/>
      <c r="G87" s="426"/>
      <c r="H87" s="57">
        <v>74000</v>
      </c>
      <c r="I87" s="54">
        <v>1</v>
      </c>
      <c r="J87" s="54" t="s">
        <v>853</v>
      </c>
      <c r="K87" s="226" t="s">
        <v>733</v>
      </c>
      <c r="L87" s="338" t="s">
        <v>1741</v>
      </c>
      <c r="M87" s="89" t="s">
        <v>855</v>
      </c>
      <c r="N87" s="54">
        <v>1</v>
      </c>
      <c r="O87" s="54">
        <v>1</v>
      </c>
      <c r="P87" s="54">
        <v>0</v>
      </c>
      <c r="Q87" s="54" t="s">
        <v>1371</v>
      </c>
    </row>
    <row r="88" spans="1:17" s="55" customFormat="1" x14ac:dyDescent="0.25">
      <c r="A88" s="54">
        <v>85</v>
      </c>
      <c r="B88" s="497"/>
      <c r="C88" s="491"/>
      <c r="D88" s="491"/>
      <c r="E88" s="427"/>
      <c r="F88" s="427"/>
      <c r="G88" s="427"/>
      <c r="H88" s="57">
        <v>74000</v>
      </c>
      <c r="I88" s="54">
        <v>1</v>
      </c>
      <c r="J88" s="54" t="s">
        <v>853</v>
      </c>
      <c r="K88" s="226" t="s">
        <v>734</v>
      </c>
      <c r="L88" s="338" t="s">
        <v>1742</v>
      </c>
      <c r="M88" s="89" t="s">
        <v>855</v>
      </c>
      <c r="N88" s="54">
        <v>1</v>
      </c>
      <c r="O88" s="54">
        <v>1</v>
      </c>
      <c r="P88" s="54">
        <v>0</v>
      </c>
      <c r="Q88" s="54" t="s">
        <v>1371</v>
      </c>
    </row>
    <row r="89" spans="1:17" s="55" customFormat="1" x14ac:dyDescent="0.25">
      <c r="A89" s="54">
        <v>86</v>
      </c>
      <c r="B89" s="429" t="s">
        <v>1373</v>
      </c>
      <c r="C89" s="54" t="s">
        <v>866</v>
      </c>
      <c r="D89" s="54">
        <v>1</v>
      </c>
      <c r="E89" s="69" t="s">
        <v>1031</v>
      </c>
      <c r="F89" s="54" t="s">
        <v>1043</v>
      </c>
      <c r="G89" s="54" t="s">
        <v>1044</v>
      </c>
      <c r="H89" s="57">
        <v>9500</v>
      </c>
      <c r="I89" s="54">
        <v>1</v>
      </c>
      <c r="J89" s="54" t="s">
        <v>853</v>
      </c>
      <c r="K89" s="226" t="s">
        <v>867</v>
      </c>
      <c r="L89" s="314" t="s">
        <v>1743</v>
      </c>
      <c r="M89" s="54" t="s">
        <v>855</v>
      </c>
      <c r="N89" s="54">
        <v>1</v>
      </c>
      <c r="O89" s="54">
        <v>1</v>
      </c>
      <c r="P89" s="54">
        <v>0</v>
      </c>
      <c r="Q89" s="54" t="s">
        <v>1371</v>
      </c>
    </row>
    <row r="90" spans="1:17" s="68" customFormat="1" x14ac:dyDescent="0.25">
      <c r="A90" s="54">
        <v>87</v>
      </c>
      <c r="B90" s="429"/>
      <c r="C90" s="506" t="s">
        <v>55</v>
      </c>
      <c r="D90" s="506">
        <v>10</v>
      </c>
      <c r="E90" s="464" t="s">
        <v>56</v>
      </c>
      <c r="F90" s="464" t="s">
        <v>57</v>
      </c>
      <c r="G90" s="464" t="s">
        <v>119</v>
      </c>
      <c r="H90" s="518">
        <v>38365.379999999997</v>
      </c>
      <c r="I90" s="66">
        <v>1</v>
      </c>
      <c r="J90" s="66" t="s">
        <v>853</v>
      </c>
      <c r="K90" s="331" t="s">
        <v>188</v>
      </c>
      <c r="L90" s="331" t="s">
        <v>1946</v>
      </c>
      <c r="M90" s="89" t="s">
        <v>855</v>
      </c>
      <c r="N90" s="66">
        <v>1</v>
      </c>
      <c r="O90" s="66">
        <v>1</v>
      </c>
      <c r="P90" s="54">
        <v>0</v>
      </c>
      <c r="Q90" s="54" t="s">
        <v>1371</v>
      </c>
    </row>
    <row r="91" spans="1:17" s="68" customFormat="1" x14ac:dyDescent="0.25">
      <c r="A91" s="54">
        <v>88</v>
      </c>
      <c r="B91" s="429"/>
      <c r="C91" s="507"/>
      <c r="D91" s="507"/>
      <c r="E91" s="464"/>
      <c r="F91" s="464"/>
      <c r="G91" s="464"/>
      <c r="H91" s="519"/>
      <c r="I91" s="66">
        <v>1</v>
      </c>
      <c r="J91" s="66" t="s">
        <v>853</v>
      </c>
      <c r="K91" s="331" t="s">
        <v>189</v>
      </c>
      <c r="L91" s="331" t="s">
        <v>1945</v>
      </c>
      <c r="M91" s="89" t="s">
        <v>855</v>
      </c>
      <c r="N91" s="66">
        <v>1</v>
      </c>
      <c r="O91" s="66">
        <v>1</v>
      </c>
      <c r="P91" s="54">
        <v>0</v>
      </c>
      <c r="Q91" s="54" t="s">
        <v>1371</v>
      </c>
    </row>
    <row r="92" spans="1:17" s="177" customFormat="1" x14ac:dyDescent="0.25">
      <c r="A92" s="54">
        <v>89</v>
      </c>
      <c r="B92" s="429"/>
      <c r="C92" s="507"/>
      <c r="D92" s="507"/>
      <c r="E92" s="464"/>
      <c r="F92" s="464"/>
      <c r="G92" s="464"/>
      <c r="H92" s="519"/>
      <c r="I92" s="66">
        <v>1</v>
      </c>
      <c r="J92" s="66" t="s">
        <v>853</v>
      </c>
      <c r="K92" s="331" t="s">
        <v>190</v>
      </c>
      <c r="L92" s="331" t="s">
        <v>1950</v>
      </c>
      <c r="M92" s="89" t="s">
        <v>855</v>
      </c>
      <c r="N92" s="66">
        <v>1</v>
      </c>
      <c r="O92" s="66">
        <v>1</v>
      </c>
      <c r="P92" s="54">
        <v>0</v>
      </c>
      <c r="Q92" s="54" t="s">
        <v>1371</v>
      </c>
    </row>
    <row r="93" spans="1:17" s="177" customFormat="1" x14ac:dyDescent="0.25">
      <c r="A93" s="54">
        <v>90</v>
      </c>
      <c r="B93" s="429"/>
      <c r="C93" s="507"/>
      <c r="D93" s="507"/>
      <c r="E93" s="464"/>
      <c r="F93" s="464"/>
      <c r="G93" s="464"/>
      <c r="H93" s="519"/>
      <c r="I93" s="66">
        <v>1</v>
      </c>
      <c r="J93" s="66" t="s">
        <v>853</v>
      </c>
      <c r="K93" s="331" t="s">
        <v>191</v>
      </c>
      <c r="L93" s="331" t="s">
        <v>1948</v>
      </c>
      <c r="M93" s="89" t="s">
        <v>855</v>
      </c>
      <c r="N93" s="66">
        <v>1</v>
      </c>
      <c r="O93" s="66">
        <v>1</v>
      </c>
      <c r="P93" s="54">
        <v>0</v>
      </c>
      <c r="Q93" s="54" t="s">
        <v>1371</v>
      </c>
    </row>
    <row r="94" spans="1:17" s="72" customFormat="1" ht="15.75" customHeight="1" x14ac:dyDescent="0.25">
      <c r="A94" s="54">
        <v>91</v>
      </c>
      <c r="B94" s="429"/>
      <c r="C94" s="507"/>
      <c r="D94" s="507"/>
      <c r="E94" s="464"/>
      <c r="F94" s="464"/>
      <c r="G94" s="464"/>
      <c r="H94" s="519"/>
      <c r="I94" s="66">
        <v>1</v>
      </c>
      <c r="J94" s="66" t="s">
        <v>853</v>
      </c>
      <c r="K94" s="331" t="s">
        <v>192</v>
      </c>
      <c r="L94" s="331" t="s">
        <v>1949</v>
      </c>
      <c r="M94" s="89" t="s">
        <v>855</v>
      </c>
      <c r="N94" s="66">
        <v>1</v>
      </c>
      <c r="O94" s="66">
        <v>1</v>
      </c>
      <c r="P94" s="54">
        <v>0</v>
      </c>
      <c r="Q94" s="54" t="s">
        <v>1371</v>
      </c>
    </row>
    <row r="95" spans="1:17" s="72" customFormat="1" ht="15.75" customHeight="1" x14ac:dyDescent="0.25">
      <c r="A95" s="54">
        <v>92</v>
      </c>
      <c r="B95" s="429"/>
      <c r="C95" s="507"/>
      <c r="D95" s="507"/>
      <c r="E95" s="464"/>
      <c r="F95" s="464"/>
      <c r="G95" s="464"/>
      <c r="H95" s="520"/>
      <c r="I95" s="66">
        <v>1</v>
      </c>
      <c r="J95" s="66" t="s">
        <v>853</v>
      </c>
      <c r="K95" s="331" t="s">
        <v>193</v>
      </c>
      <c r="L95" s="331" t="s">
        <v>1947</v>
      </c>
      <c r="M95" s="205" t="s">
        <v>855</v>
      </c>
      <c r="N95" s="66">
        <v>1</v>
      </c>
      <c r="O95" s="66">
        <v>1</v>
      </c>
      <c r="P95" s="54">
        <v>0</v>
      </c>
      <c r="Q95" s="54" t="s">
        <v>1371</v>
      </c>
    </row>
    <row r="96" spans="1:17" s="72" customFormat="1" ht="15.75" customHeight="1" x14ac:dyDescent="0.25">
      <c r="A96" s="54">
        <v>93</v>
      </c>
      <c r="B96" s="429"/>
      <c r="C96" s="507"/>
      <c r="D96" s="507"/>
      <c r="E96" s="464" t="s">
        <v>58</v>
      </c>
      <c r="F96" s="464" t="s">
        <v>54</v>
      </c>
      <c r="G96" s="464" t="s">
        <v>120</v>
      </c>
      <c r="H96" s="518">
        <v>15200</v>
      </c>
      <c r="I96" s="54">
        <v>1</v>
      </c>
      <c r="J96" s="54" t="s">
        <v>853</v>
      </c>
      <c r="K96" s="226" t="s">
        <v>194</v>
      </c>
      <c r="L96" s="314" t="s">
        <v>1744</v>
      </c>
      <c r="M96" s="54" t="s">
        <v>855</v>
      </c>
      <c r="N96" s="54">
        <v>1</v>
      </c>
      <c r="O96" s="54">
        <v>1</v>
      </c>
      <c r="P96" s="54">
        <v>0</v>
      </c>
      <c r="Q96" s="54" t="s">
        <v>1371</v>
      </c>
    </row>
    <row r="97" spans="1:17" s="72" customFormat="1" x14ac:dyDescent="0.25">
      <c r="A97" s="54">
        <v>94</v>
      </c>
      <c r="B97" s="429"/>
      <c r="C97" s="507"/>
      <c r="D97" s="507"/>
      <c r="E97" s="464"/>
      <c r="F97" s="464"/>
      <c r="G97" s="464"/>
      <c r="H97" s="520"/>
      <c r="I97" s="54">
        <v>1</v>
      </c>
      <c r="J97" s="54" t="s">
        <v>852</v>
      </c>
      <c r="K97" s="226" t="s">
        <v>195</v>
      </c>
      <c r="L97" s="314" t="s">
        <v>1745</v>
      </c>
      <c r="M97" s="54" t="s">
        <v>855</v>
      </c>
      <c r="N97" s="54">
        <v>1</v>
      </c>
      <c r="O97" s="54">
        <v>1</v>
      </c>
      <c r="P97" s="54">
        <v>0</v>
      </c>
      <c r="Q97" s="54" t="s">
        <v>1371</v>
      </c>
    </row>
    <row r="98" spans="1:17" s="72" customFormat="1" x14ac:dyDescent="0.25">
      <c r="A98" s="54">
        <v>95</v>
      </c>
      <c r="B98" s="429"/>
      <c r="C98" s="507"/>
      <c r="D98" s="507"/>
      <c r="E98" s="54" t="s">
        <v>59</v>
      </c>
      <c r="F98" s="54" t="s">
        <v>60</v>
      </c>
      <c r="G98" s="54" t="s">
        <v>121</v>
      </c>
      <c r="H98" s="67">
        <v>8400</v>
      </c>
      <c r="I98" s="54">
        <v>1</v>
      </c>
      <c r="J98" s="54" t="s">
        <v>853</v>
      </c>
      <c r="K98" s="226" t="s">
        <v>196</v>
      </c>
      <c r="L98" s="314" t="s">
        <v>1746</v>
      </c>
      <c r="M98" s="54" t="s">
        <v>855</v>
      </c>
      <c r="N98" s="54">
        <v>1</v>
      </c>
      <c r="O98" s="54">
        <v>1</v>
      </c>
      <c r="P98" s="54">
        <v>0</v>
      </c>
      <c r="Q98" s="54" t="s">
        <v>1371</v>
      </c>
    </row>
    <row r="99" spans="1:17" s="72" customFormat="1" ht="37.5" x14ac:dyDescent="0.25">
      <c r="A99" s="54">
        <v>96</v>
      </c>
      <c r="B99" s="429"/>
      <c r="C99" s="517"/>
      <c r="D99" s="508"/>
      <c r="E99" s="178" t="s">
        <v>1056</v>
      </c>
      <c r="F99" s="179" t="s">
        <v>1055</v>
      </c>
      <c r="G99" s="127"/>
      <c r="H99" s="135">
        <v>10082.200000000001</v>
      </c>
      <c r="I99" s="127">
        <v>1</v>
      </c>
      <c r="J99" s="54" t="s">
        <v>853</v>
      </c>
      <c r="K99" s="341" t="s">
        <v>861</v>
      </c>
      <c r="L99" s="314" t="s">
        <v>1747</v>
      </c>
      <c r="M99" s="54" t="s">
        <v>855</v>
      </c>
      <c r="N99" s="127">
        <v>1</v>
      </c>
      <c r="O99" s="127">
        <v>1</v>
      </c>
      <c r="P99" s="54">
        <v>0</v>
      </c>
      <c r="Q99" s="54" t="s">
        <v>1371</v>
      </c>
    </row>
    <row r="100" spans="1:17" s="68" customFormat="1" ht="37.5" x14ac:dyDescent="0.25">
      <c r="A100" s="54">
        <v>97</v>
      </c>
      <c r="B100" s="429"/>
      <c r="C100" s="119" t="s">
        <v>1048</v>
      </c>
      <c r="D100" s="119">
        <v>1</v>
      </c>
      <c r="E100" s="119" t="s">
        <v>53</v>
      </c>
      <c r="F100" s="119" t="s">
        <v>54</v>
      </c>
      <c r="G100" s="119" t="s">
        <v>118</v>
      </c>
      <c r="H100" s="134">
        <v>5710</v>
      </c>
      <c r="I100" s="127">
        <v>1</v>
      </c>
      <c r="J100" s="54" t="s">
        <v>850</v>
      </c>
      <c r="K100" s="341" t="s">
        <v>187</v>
      </c>
      <c r="L100" s="314" t="s">
        <v>1748</v>
      </c>
      <c r="M100" s="54" t="s">
        <v>855</v>
      </c>
      <c r="N100" s="127">
        <v>1</v>
      </c>
      <c r="O100" s="127">
        <v>1</v>
      </c>
      <c r="P100" s="54">
        <v>0</v>
      </c>
      <c r="Q100" s="54" t="s">
        <v>1382</v>
      </c>
    </row>
    <row r="101" spans="1:17" s="68" customFormat="1" ht="37.5" x14ac:dyDescent="0.25">
      <c r="A101" s="54">
        <v>98</v>
      </c>
      <c r="B101" s="429"/>
      <c r="C101" s="54" t="s">
        <v>81</v>
      </c>
      <c r="D101" s="54">
        <v>1</v>
      </c>
      <c r="E101" s="54" t="s">
        <v>82</v>
      </c>
      <c r="F101" s="54" t="s">
        <v>54</v>
      </c>
      <c r="G101" s="54" t="s">
        <v>227</v>
      </c>
      <c r="H101" s="62">
        <v>18249</v>
      </c>
      <c r="I101" s="54">
        <v>1</v>
      </c>
      <c r="J101" s="54" t="s">
        <v>853</v>
      </c>
      <c r="K101" s="226" t="s">
        <v>206</v>
      </c>
      <c r="L101" s="314" t="s">
        <v>1749</v>
      </c>
      <c r="M101" s="54" t="s">
        <v>855</v>
      </c>
      <c r="N101" s="54">
        <v>1</v>
      </c>
      <c r="O101" s="54">
        <v>1</v>
      </c>
      <c r="P101" s="54">
        <v>0</v>
      </c>
      <c r="Q101" s="54" t="s">
        <v>1371</v>
      </c>
    </row>
    <row r="102" spans="1:17" s="68" customFormat="1" ht="37.5" x14ac:dyDescent="0.25">
      <c r="A102" s="54">
        <v>99</v>
      </c>
      <c r="B102" s="429"/>
      <c r="C102" s="54" t="s">
        <v>87</v>
      </c>
      <c r="D102" s="54">
        <v>1</v>
      </c>
      <c r="E102" s="54" t="s">
        <v>88</v>
      </c>
      <c r="F102" s="54" t="s">
        <v>54</v>
      </c>
      <c r="G102" s="54" t="s">
        <v>132</v>
      </c>
      <c r="H102" s="62">
        <v>20580</v>
      </c>
      <c r="I102" s="54">
        <v>1</v>
      </c>
      <c r="J102" s="54" t="s">
        <v>853</v>
      </c>
      <c r="K102" s="226" t="s">
        <v>213</v>
      </c>
      <c r="L102" s="314" t="s">
        <v>1750</v>
      </c>
      <c r="M102" s="54" t="s">
        <v>855</v>
      </c>
      <c r="N102" s="54">
        <v>1</v>
      </c>
      <c r="O102" s="54">
        <v>1</v>
      </c>
      <c r="P102" s="54">
        <v>0</v>
      </c>
      <c r="Q102" s="54" t="s">
        <v>1371</v>
      </c>
    </row>
    <row r="103" spans="1:17" s="68" customFormat="1" ht="37.5" x14ac:dyDescent="0.25">
      <c r="A103" s="54">
        <v>100</v>
      </c>
      <c r="B103" s="429"/>
      <c r="C103" s="54" t="s">
        <v>72</v>
      </c>
      <c r="D103" s="54">
        <v>1</v>
      </c>
      <c r="E103" s="54" t="s">
        <v>73</v>
      </c>
      <c r="F103" s="54" t="s">
        <v>60</v>
      </c>
      <c r="G103" s="54" t="s">
        <v>127</v>
      </c>
      <c r="H103" s="67">
        <v>42900</v>
      </c>
      <c r="I103" s="54">
        <v>1</v>
      </c>
      <c r="J103" s="66" t="s">
        <v>850</v>
      </c>
      <c r="K103" s="331" t="s">
        <v>202</v>
      </c>
      <c r="L103" s="314" t="s">
        <v>1751</v>
      </c>
      <c r="M103" s="89" t="s">
        <v>855</v>
      </c>
      <c r="N103" s="54">
        <v>1</v>
      </c>
      <c r="O103" s="54">
        <v>1</v>
      </c>
      <c r="P103" s="54">
        <v>0</v>
      </c>
      <c r="Q103" s="54" t="s">
        <v>1382</v>
      </c>
    </row>
    <row r="104" spans="1:17" s="68" customFormat="1" ht="37.5" x14ac:dyDescent="0.25">
      <c r="A104" s="54">
        <v>101</v>
      </c>
      <c r="B104" s="429"/>
      <c r="C104" s="504" t="s">
        <v>74</v>
      </c>
      <c r="D104" s="504">
        <v>2</v>
      </c>
      <c r="E104" s="54" t="s">
        <v>75</v>
      </c>
      <c r="F104" s="54" t="s">
        <v>60</v>
      </c>
      <c r="G104" s="54" t="s">
        <v>128</v>
      </c>
      <c r="H104" s="67">
        <v>49560</v>
      </c>
      <c r="I104" s="54">
        <v>1</v>
      </c>
      <c r="J104" s="54" t="s">
        <v>852</v>
      </c>
      <c r="K104" s="331" t="s">
        <v>203</v>
      </c>
      <c r="L104" s="342" t="s">
        <v>1966</v>
      </c>
      <c r="M104" s="89" t="s">
        <v>855</v>
      </c>
      <c r="N104" s="54">
        <v>1</v>
      </c>
      <c r="O104" s="54">
        <v>1</v>
      </c>
      <c r="P104" s="54">
        <v>0</v>
      </c>
      <c r="Q104" s="54" t="s">
        <v>1371</v>
      </c>
    </row>
    <row r="105" spans="1:17" s="68" customFormat="1" ht="37.5" x14ac:dyDescent="0.25">
      <c r="A105" s="54">
        <v>102</v>
      </c>
      <c r="B105" s="429"/>
      <c r="C105" s="504"/>
      <c r="D105" s="504"/>
      <c r="E105" s="54" t="s">
        <v>76</v>
      </c>
      <c r="F105" s="54" t="s">
        <v>77</v>
      </c>
      <c r="G105" s="54" t="s">
        <v>129</v>
      </c>
      <c r="H105" s="67">
        <v>48300</v>
      </c>
      <c r="I105" s="54">
        <v>1</v>
      </c>
      <c r="J105" s="54" t="s">
        <v>852</v>
      </c>
      <c r="K105" s="331" t="s">
        <v>204</v>
      </c>
      <c r="L105" s="338" t="s">
        <v>1752</v>
      </c>
      <c r="M105" s="89" t="s">
        <v>855</v>
      </c>
      <c r="N105" s="54">
        <v>1</v>
      </c>
      <c r="O105" s="54">
        <v>1</v>
      </c>
      <c r="P105" s="54">
        <v>0</v>
      </c>
      <c r="Q105" s="54" t="s">
        <v>1371</v>
      </c>
    </row>
    <row r="106" spans="1:17" s="68" customFormat="1" ht="37.5" x14ac:dyDescent="0.25">
      <c r="A106" s="54">
        <v>103</v>
      </c>
      <c r="B106" s="429"/>
      <c r="C106" s="54" t="s">
        <v>89</v>
      </c>
      <c r="D106" s="54">
        <v>1</v>
      </c>
      <c r="E106" s="54" t="s">
        <v>90</v>
      </c>
      <c r="F106" s="54" t="s">
        <v>60</v>
      </c>
      <c r="G106" s="54" t="s">
        <v>128</v>
      </c>
      <c r="H106" s="67">
        <v>10164</v>
      </c>
      <c r="I106" s="54">
        <v>1</v>
      </c>
      <c r="J106" s="54" t="s">
        <v>852</v>
      </c>
      <c r="K106" s="331" t="s">
        <v>214</v>
      </c>
      <c r="L106" s="314" t="s">
        <v>1753</v>
      </c>
      <c r="M106" s="89" t="s">
        <v>855</v>
      </c>
      <c r="N106" s="54">
        <v>1</v>
      </c>
      <c r="O106" s="54">
        <v>1</v>
      </c>
      <c r="P106" s="54">
        <v>0</v>
      </c>
      <c r="Q106" s="54" t="s">
        <v>1371</v>
      </c>
    </row>
    <row r="107" spans="1:17" s="68" customFormat="1" ht="37.5" x14ac:dyDescent="0.25">
      <c r="A107" s="54">
        <v>104</v>
      </c>
      <c r="B107" s="429"/>
      <c r="C107" s="54" t="s">
        <v>78</v>
      </c>
      <c r="D107" s="54">
        <v>1</v>
      </c>
      <c r="E107" s="54" t="s">
        <v>79</v>
      </c>
      <c r="F107" s="54" t="s">
        <v>80</v>
      </c>
      <c r="G107" s="54" t="s">
        <v>130</v>
      </c>
      <c r="H107" s="67">
        <v>18273</v>
      </c>
      <c r="I107" s="54">
        <v>1</v>
      </c>
      <c r="J107" s="54" t="s">
        <v>853</v>
      </c>
      <c r="K107" s="331" t="s">
        <v>205</v>
      </c>
      <c r="L107" s="314" t="s">
        <v>1754</v>
      </c>
      <c r="M107" s="89" t="s">
        <v>855</v>
      </c>
      <c r="N107" s="54">
        <v>1</v>
      </c>
      <c r="O107" s="54">
        <v>1</v>
      </c>
      <c r="P107" s="54">
        <v>0</v>
      </c>
      <c r="Q107" s="54" t="s">
        <v>1371</v>
      </c>
    </row>
    <row r="108" spans="1:17" s="68" customFormat="1" ht="20.25" customHeight="1" x14ac:dyDescent="0.3">
      <c r="A108" s="54">
        <v>105</v>
      </c>
      <c r="B108" s="429"/>
      <c r="C108" s="119" t="s">
        <v>971</v>
      </c>
      <c r="D108" s="54">
        <v>1</v>
      </c>
      <c r="E108" s="127" t="s">
        <v>1094</v>
      </c>
      <c r="F108" s="127" t="s">
        <v>60</v>
      </c>
      <c r="G108" s="127" t="s">
        <v>1095</v>
      </c>
      <c r="H108" s="135">
        <v>30450</v>
      </c>
      <c r="I108" s="127">
        <v>1</v>
      </c>
      <c r="J108" s="54" t="s">
        <v>850</v>
      </c>
      <c r="K108" s="343" t="s">
        <v>2278</v>
      </c>
      <c r="L108" s="344" t="s">
        <v>2277</v>
      </c>
      <c r="M108" s="54" t="s">
        <v>855</v>
      </c>
      <c r="N108" s="127">
        <v>1</v>
      </c>
      <c r="O108" s="127">
        <v>1</v>
      </c>
      <c r="P108" s="54">
        <v>0</v>
      </c>
      <c r="Q108" s="54" t="s">
        <v>860</v>
      </c>
    </row>
    <row r="109" spans="1:17" s="68" customFormat="1" ht="56.25" x14ac:dyDescent="0.25">
      <c r="A109" s="54">
        <v>106</v>
      </c>
      <c r="B109" s="429"/>
      <c r="C109" s="492" t="s">
        <v>83</v>
      </c>
      <c r="D109" s="492">
        <v>7</v>
      </c>
      <c r="E109" s="120" t="s">
        <v>85</v>
      </c>
      <c r="F109" s="127" t="s">
        <v>86</v>
      </c>
      <c r="G109" s="127" t="s">
        <v>131</v>
      </c>
      <c r="H109" s="129">
        <v>35000</v>
      </c>
      <c r="I109" s="127">
        <v>1</v>
      </c>
      <c r="J109" s="54" t="s">
        <v>853</v>
      </c>
      <c r="K109" s="332" t="s">
        <v>212</v>
      </c>
      <c r="L109" s="314" t="s">
        <v>1755</v>
      </c>
      <c r="M109" s="89" t="s">
        <v>855</v>
      </c>
      <c r="N109" s="127">
        <v>1</v>
      </c>
      <c r="O109" s="127">
        <v>1</v>
      </c>
      <c r="P109" s="54">
        <v>0</v>
      </c>
      <c r="Q109" s="54" t="s">
        <v>1371</v>
      </c>
    </row>
    <row r="110" spans="1:17" s="68" customFormat="1" ht="15.75" customHeight="1" x14ac:dyDescent="0.25">
      <c r="A110" s="54">
        <v>107</v>
      </c>
      <c r="B110" s="429"/>
      <c r="C110" s="493"/>
      <c r="D110" s="493"/>
      <c r="E110" s="431" t="s">
        <v>223</v>
      </c>
      <c r="F110" s="464" t="s">
        <v>84</v>
      </c>
      <c r="G110" s="464" t="s">
        <v>1057</v>
      </c>
      <c r="H110" s="62">
        <v>35000</v>
      </c>
      <c r="I110" s="54">
        <v>1</v>
      </c>
      <c r="J110" s="54" t="s">
        <v>853</v>
      </c>
      <c r="K110" s="331" t="s">
        <v>207</v>
      </c>
      <c r="L110" s="314" t="s">
        <v>1756</v>
      </c>
      <c r="M110" s="89" t="s">
        <v>855</v>
      </c>
      <c r="N110" s="54">
        <v>1</v>
      </c>
      <c r="O110" s="54">
        <v>1</v>
      </c>
      <c r="P110" s="54">
        <v>0</v>
      </c>
      <c r="Q110" s="54" t="s">
        <v>1371</v>
      </c>
    </row>
    <row r="111" spans="1:17" s="68" customFormat="1" x14ac:dyDescent="0.25">
      <c r="A111" s="54">
        <v>108</v>
      </c>
      <c r="B111" s="429"/>
      <c r="C111" s="493"/>
      <c r="D111" s="493"/>
      <c r="E111" s="432"/>
      <c r="F111" s="464"/>
      <c r="G111" s="464"/>
      <c r="H111" s="62">
        <v>35000</v>
      </c>
      <c r="I111" s="54">
        <v>1</v>
      </c>
      <c r="J111" s="54" t="s">
        <v>853</v>
      </c>
      <c r="K111" s="331" t="s">
        <v>208</v>
      </c>
      <c r="L111" s="331"/>
      <c r="M111" s="89" t="s">
        <v>855</v>
      </c>
      <c r="N111" s="54">
        <v>1</v>
      </c>
      <c r="O111" s="54">
        <v>1</v>
      </c>
      <c r="P111" s="54">
        <v>0</v>
      </c>
      <c r="Q111" s="54" t="s">
        <v>1371</v>
      </c>
    </row>
    <row r="112" spans="1:17" s="68" customFormat="1" ht="15.75" customHeight="1" x14ac:dyDescent="0.25">
      <c r="A112" s="54">
        <v>109</v>
      </c>
      <c r="B112" s="429"/>
      <c r="C112" s="493"/>
      <c r="D112" s="493"/>
      <c r="E112" s="432"/>
      <c r="F112" s="464"/>
      <c r="G112" s="464"/>
      <c r="H112" s="62">
        <v>35000</v>
      </c>
      <c r="I112" s="54">
        <v>1</v>
      </c>
      <c r="J112" s="54" t="s">
        <v>853</v>
      </c>
      <c r="K112" s="331" t="s">
        <v>209</v>
      </c>
      <c r="L112" s="338" t="s">
        <v>1757</v>
      </c>
      <c r="M112" s="89" t="s">
        <v>855</v>
      </c>
      <c r="N112" s="54">
        <v>1</v>
      </c>
      <c r="O112" s="54">
        <v>1</v>
      </c>
      <c r="P112" s="54">
        <v>0</v>
      </c>
      <c r="Q112" s="54" t="s">
        <v>1371</v>
      </c>
    </row>
    <row r="113" spans="1:17" s="68" customFormat="1" ht="15.75" customHeight="1" x14ac:dyDescent="0.25">
      <c r="A113" s="54">
        <v>110</v>
      </c>
      <c r="B113" s="429"/>
      <c r="C113" s="493"/>
      <c r="D113" s="493"/>
      <c r="E113" s="433"/>
      <c r="F113" s="464"/>
      <c r="G113" s="464"/>
      <c r="H113" s="62">
        <v>35000</v>
      </c>
      <c r="I113" s="54">
        <v>1</v>
      </c>
      <c r="J113" s="54" t="s">
        <v>850</v>
      </c>
      <c r="K113" s="331" t="s">
        <v>210</v>
      </c>
      <c r="L113" s="314" t="s">
        <v>1758</v>
      </c>
      <c r="M113" s="89" t="s">
        <v>855</v>
      </c>
      <c r="N113" s="54">
        <v>1</v>
      </c>
      <c r="O113" s="54">
        <v>1</v>
      </c>
      <c r="P113" s="54">
        <v>0</v>
      </c>
      <c r="Q113" s="54" t="s">
        <v>1371</v>
      </c>
    </row>
    <row r="114" spans="1:17" s="68" customFormat="1" ht="32.25" customHeight="1" x14ac:dyDescent="0.25">
      <c r="A114" s="54">
        <v>111</v>
      </c>
      <c r="B114" s="429"/>
      <c r="C114" s="493"/>
      <c r="D114" s="493"/>
      <c r="E114" s="89" t="s">
        <v>1059</v>
      </c>
      <c r="F114" s="464"/>
      <c r="G114" s="54" t="s">
        <v>1058</v>
      </c>
      <c r="H114" s="62">
        <v>34950</v>
      </c>
      <c r="I114" s="54">
        <v>1</v>
      </c>
      <c r="J114" s="54" t="s">
        <v>850</v>
      </c>
      <c r="K114" s="331" t="s">
        <v>211</v>
      </c>
      <c r="L114" s="338" t="s">
        <v>1759</v>
      </c>
      <c r="M114" s="89" t="s">
        <v>855</v>
      </c>
      <c r="N114" s="54">
        <v>1</v>
      </c>
      <c r="O114" s="54">
        <v>1</v>
      </c>
      <c r="P114" s="54">
        <v>0</v>
      </c>
      <c r="Q114" s="66" t="s">
        <v>860</v>
      </c>
    </row>
    <row r="115" spans="1:17" s="68" customFormat="1" ht="35.25" customHeight="1" x14ac:dyDescent="0.25">
      <c r="A115" s="54">
        <v>112</v>
      </c>
      <c r="B115" s="429"/>
      <c r="C115" s="494"/>
      <c r="D115" s="494"/>
      <c r="E115" s="89" t="s">
        <v>1086</v>
      </c>
      <c r="F115" s="127" t="s">
        <v>86</v>
      </c>
      <c r="G115" s="54"/>
      <c r="H115" s="62">
        <v>20762.71</v>
      </c>
      <c r="I115" s="54">
        <v>1</v>
      </c>
      <c r="J115" s="54" t="s">
        <v>852</v>
      </c>
      <c r="K115" s="226" t="s">
        <v>1085</v>
      </c>
      <c r="L115" s="314" t="s">
        <v>1760</v>
      </c>
      <c r="M115" s="54" t="s">
        <v>855</v>
      </c>
      <c r="N115" s="54"/>
      <c r="O115" s="54"/>
      <c r="P115" s="54"/>
      <c r="Q115" s="54" t="s">
        <v>1371</v>
      </c>
    </row>
    <row r="116" spans="1:17" s="68" customFormat="1" x14ac:dyDescent="0.25">
      <c r="A116" s="54">
        <v>113</v>
      </c>
      <c r="B116" s="429"/>
      <c r="C116" s="464" t="s">
        <v>63</v>
      </c>
      <c r="D116" s="464">
        <v>2</v>
      </c>
      <c r="E116" s="425" t="s">
        <v>222</v>
      </c>
      <c r="F116" s="425" t="s">
        <v>64</v>
      </c>
      <c r="G116" s="425" t="s">
        <v>123</v>
      </c>
      <c r="H116" s="67">
        <v>12329.66</v>
      </c>
      <c r="I116" s="54">
        <v>1</v>
      </c>
      <c r="J116" s="54" t="s">
        <v>853</v>
      </c>
      <c r="K116" s="226" t="s">
        <v>197</v>
      </c>
      <c r="L116" s="314" t="s">
        <v>1761</v>
      </c>
      <c r="M116" s="54" t="s">
        <v>855</v>
      </c>
      <c r="N116" s="54">
        <v>1</v>
      </c>
      <c r="O116" s="54">
        <v>1</v>
      </c>
      <c r="P116" s="54">
        <v>0</v>
      </c>
      <c r="Q116" s="54" t="s">
        <v>1371</v>
      </c>
    </row>
    <row r="117" spans="1:17" s="68" customFormat="1" x14ac:dyDescent="0.25">
      <c r="A117" s="54">
        <v>114</v>
      </c>
      <c r="B117" s="429"/>
      <c r="C117" s="464"/>
      <c r="D117" s="464"/>
      <c r="E117" s="427"/>
      <c r="F117" s="427"/>
      <c r="G117" s="427"/>
      <c r="H117" s="67">
        <v>12329.66</v>
      </c>
      <c r="I117" s="54">
        <v>1</v>
      </c>
      <c r="J117" s="54" t="s">
        <v>850</v>
      </c>
      <c r="K117" s="226" t="s">
        <v>198</v>
      </c>
      <c r="L117" s="314" t="s">
        <v>1762</v>
      </c>
      <c r="M117" s="54" t="s">
        <v>855</v>
      </c>
      <c r="N117" s="54">
        <v>1</v>
      </c>
      <c r="O117" s="54">
        <v>1</v>
      </c>
      <c r="P117" s="54">
        <v>0</v>
      </c>
      <c r="Q117" s="54" t="s">
        <v>1411</v>
      </c>
    </row>
    <row r="118" spans="1:17" s="68" customFormat="1" ht="39.75" customHeight="1" x14ac:dyDescent="0.25">
      <c r="A118" s="54">
        <v>115</v>
      </c>
      <c r="B118" s="429"/>
      <c r="C118" s="54" t="s">
        <v>870</v>
      </c>
      <c r="D118" s="54">
        <v>1</v>
      </c>
      <c r="E118" s="54" t="s">
        <v>1060</v>
      </c>
      <c r="F118" s="54" t="s">
        <v>1061</v>
      </c>
      <c r="G118" s="127" t="s">
        <v>221</v>
      </c>
      <c r="H118" s="67">
        <v>20037.29</v>
      </c>
      <c r="I118" s="54">
        <v>1</v>
      </c>
      <c r="J118" s="54" t="s">
        <v>853</v>
      </c>
      <c r="K118" s="226" t="s">
        <v>871</v>
      </c>
      <c r="L118" s="314" t="s">
        <v>1763</v>
      </c>
      <c r="M118" s="54" t="s">
        <v>855</v>
      </c>
      <c r="N118" s="54">
        <v>1</v>
      </c>
      <c r="O118" s="54">
        <v>1</v>
      </c>
      <c r="P118" s="54">
        <v>0</v>
      </c>
      <c r="Q118" s="54" t="s">
        <v>1371</v>
      </c>
    </row>
    <row r="119" spans="1:17" s="68" customFormat="1" x14ac:dyDescent="0.25">
      <c r="A119" s="54">
        <v>116</v>
      </c>
      <c r="B119" s="429"/>
      <c r="C119" s="504" t="s">
        <v>69</v>
      </c>
      <c r="D119" s="504">
        <v>2</v>
      </c>
      <c r="E119" s="495" t="s">
        <v>70</v>
      </c>
      <c r="F119" s="464" t="s">
        <v>71</v>
      </c>
      <c r="G119" s="464" t="s">
        <v>126</v>
      </c>
      <c r="H119" s="67">
        <v>31516</v>
      </c>
      <c r="I119" s="54">
        <v>1</v>
      </c>
      <c r="J119" s="54" t="s">
        <v>853</v>
      </c>
      <c r="K119" s="226" t="s">
        <v>200</v>
      </c>
      <c r="L119" s="338" t="s">
        <v>1764</v>
      </c>
      <c r="M119" s="54" t="s">
        <v>855</v>
      </c>
      <c r="N119" s="54">
        <v>1</v>
      </c>
      <c r="O119" s="54">
        <v>1</v>
      </c>
      <c r="P119" s="54">
        <v>0</v>
      </c>
      <c r="Q119" s="54" t="s">
        <v>1371</v>
      </c>
    </row>
    <row r="120" spans="1:17" s="68" customFormat="1" x14ac:dyDescent="0.25">
      <c r="A120" s="54">
        <v>117</v>
      </c>
      <c r="B120" s="429"/>
      <c r="C120" s="504"/>
      <c r="D120" s="504"/>
      <c r="E120" s="495"/>
      <c r="F120" s="464"/>
      <c r="G120" s="464"/>
      <c r="H120" s="67">
        <v>31516</v>
      </c>
      <c r="I120" s="54">
        <v>1</v>
      </c>
      <c r="J120" s="54" t="s">
        <v>853</v>
      </c>
      <c r="K120" s="226" t="s">
        <v>201</v>
      </c>
      <c r="L120" s="338" t="s">
        <v>1765</v>
      </c>
      <c r="M120" s="54" t="s">
        <v>855</v>
      </c>
      <c r="N120" s="54">
        <v>1</v>
      </c>
      <c r="O120" s="54">
        <v>1</v>
      </c>
      <c r="P120" s="54">
        <v>0</v>
      </c>
      <c r="Q120" s="54" t="s">
        <v>1371</v>
      </c>
    </row>
    <row r="121" spans="1:17" s="68" customFormat="1" x14ac:dyDescent="0.25">
      <c r="A121" s="54">
        <v>118</v>
      </c>
      <c r="B121" s="429"/>
      <c r="C121" s="488" t="s">
        <v>65</v>
      </c>
      <c r="D121" s="488">
        <v>3</v>
      </c>
      <c r="E121" s="495" t="s">
        <v>66</v>
      </c>
      <c r="F121" s="464" t="s">
        <v>67</v>
      </c>
      <c r="G121" s="464" t="s">
        <v>124</v>
      </c>
      <c r="H121" s="67">
        <v>46990</v>
      </c>
      <c r="I121" s="54">
        <v>1</v>
      </c>
      <c r="J121" s="54" t="s">
        <v>853</v>
      </c>
      <c r="K121" s="226" t="s">
        <v>1870</v>
      </c>
      <c r="L121" s="226" t="s">
        <v>1872</v>
      </c>
      <c r="M121" s="54" t="s">
        <v>855</v>
      </c>
      <c r="N121" s="54">
        <v>1</v>
      </c>
      <c r="O121" s="54">
        <v>1</v>
      </c>
      <c r="P121" s="54">
        <v>0</v>
      </c>
      <c r="Q121" s="54" t="s">
        <v>1371</v>
      </c>
    </row>
    <row r="122" spans="1:17" s="68" customFormat="1" x14ac:dyDescent="0.25">
      <c r="A122" s="54">
        <v>119</v>
      </c>
      <c r="B122" s="429"/>
      <c r="C122" s="488"/>
      <c r="D122" s="488"/>
      <c r="E122" s="495"/>
      <c r="F122" s="464"/>
      <c r="G122" s="464"/>
      <c r="H122" s="67">
        <v>46990</v>
      </c>
      <c r="I122" s="54">
        <v>1</v>
      </c>
      <c r="J122" s="54" t="s">
        <v>853</v>
      </c>
      <c r="K122" s="226" t="s">
        <v>1871</v>
      </c>
      <c r="L122" s="226" t="s">
        <v>1873</v>
      </c>
      <c r="M122" s="54" t="s">
        <v>855</v>
      </c>
      <c r="N122" s="54">
        <v>1</v>
      </c>
      <c r="O122" s="54">
        <v>1</v>
      </c>
      <c r="P122" s="54">
        <v>0</v>
      </c>
      <c r="Q122" s="54" t="s">
        <v>1371</v>
      </c>
    </row>
    <row r="123" spans="1:17" s="68" customFormat="1" ht="37.5" x14ac:dyDescent="0.25">
      <c r="A123" s="54">
        <v>120</v>
      </c>
      <c r="B123" s="430"/>
      <c r="C123" s="488"/>
      <c r="D123" s="488"/>
      <c r="E123" s="89" t="s">
        <v>68</v>
      </c>
      <c r="F123" s="464"/>
      <c r="G123" s="54" t="s">
        <v>125</v>
      </c>
      <c r="H123" s="67">
        <v>26694.92</v>
      </c>
      <c r="I123" s="54">
        <v>1</v>
      </c>
      <c r="J123" s="54" t="s">
        <v>850</v>
      </c>
      <c r="K123" s="226" t="s">
        <v>199</v>
      </c>
      <c r="L123" s="338" t="s">
        <v>1766</v>
      </c>
      <c r="M123" s="54" t="s">
        <v>855</v>
      </c>
      <c r="N123" s="54">
        <v>1</v>
      </c>
      <c r="O123" s="54">
        <v>1</v>
      </c>
      <c r="P123" s="54">
        <v>0</v>
      </c>
      <c r="Q123" s="54" t="s">
        <v>1371</v>
      </c>
    </row>
    <row r="124" spans="1:17" s="55" customFormat="1" ht="37.5" x14ac:dyDescent="0.25">
      <c r="A124" s="54">
        <v>121</v>
      </c>
      <c r="B124" s="66"/>
      <c r="C124" s="89" t="s">
        <v>23</v>
      </c>
      <c r="D124" s="66">
        <v>1</v>
      </c>
      <c r="E124" s="130" t="s">
        <v>1880</v>
      </c>
      <c r="F124" s="54" t="s">
        <v>24</v>
      </c>
      <c r="G124" s="54" t="s">
        <v>107</v>
      </c>
      <c r="H124" s="62">
        <v>362500</v>
      </c>
      <c r="I124" s="54">
        <v>1</v>
      </c>
      <c r="J124" s="54" t="s">
        <v>850</v>
      </c>
      <c r="K124" s="226" t="s">
        <v>137</v>
      </c>
      <c r="L124" s="338" t="s">
        <v>1767</v>
      </c>
      <c r="M124" s="54" t="s">
        <v>855</v>
      </c>
      <c r="N124" s="54">
        <v>1</v>
      </c>
      <c r="O124" s="54">
        <v>1</v>
      </c>
      <c r="P124" s="54">
        <v>0</v>
      </c>
      <c r="Q124" s="54" t="s">
        <v>1371</v>
      </c>
    </row>
    <row r="125" spans="1:17" s="55" customFormat="1" ht="37.5" x14ac:dyDescent="0.25">
      <c r="A125" s="54">
        <v>122</v>
      </c>
      <c r="B125" s="66"/>
      <c r="C125" s="89" t="s">
        <v>25</v>
      </c>
      <c r="D125" s="66">
        <v>1</v>
      </c>
      <c r="E125" s="130" t="s">
        <v>1882</v>
      </c>
      <c r="F125" s="54" t="s">
        <v>1881</v>
      </c>
      <c r="G125" s="54" t="s">
        <v>108</v>
      </c>
      <c r="H125" s="62">
        <v>708000</v>
      </c>
      <c r="I125" s="54">
        <v>1</v>
      </c>
      <c r="J125" s="54" t="s">
        <v>850</v>
      </c>
      <c r="K125" s="226" t="s">
        <v>138</v>
      </c>
      <c r="L125" s="314" t="s">
        <v>1768</v>
      </c>
      <c r="M125" s="54" t="s">
        <v>855</v>
      </c>
      <c r="N125" s="54">
        <v>1</v>
      </c>
      <c r="O125" s="54">
        <v>1</v>
      </c>
      <c r="P125" s="54">
        <v>0</v>
      </c>
      <c r="Q125" s="54" t="s">
        <v>1371</v>
      </c>
    </row>
    <row r="126" spans="1:17" s="55" customFormat="1" ht="32.25" customHeight="1" x14ac:dyDescent="0.25">
      <c r="A126" s="54">
        <v>123</v>
      </c>
      <c r="B126" s="444"/>
      <c r="C126" s="495" t="s">
        <v>26</v>
      </c>
      <c r="D126" s="496">
        <v>2</v>
      </c>
      <c r="E126" s="515" t="s">
        <v>27</v>
      </c>
      <c r="F126" s="496" t="s">
        <v>28</v>
      </c>
      <c r="G126" s="496" t="s">
        <v>109</v>
      </c>
      <c r="H126" s="114">
        <v>420905.93</v>
      </c>
      <c r="I126" s="66">
        <v>1</v>
      </c>
      <c r="J126" s="66" t="s">
        <v>850</v>
      </c>
      <c r="K126" s="331" t="s">
        <v>139</v>
      </c>
      <c r="L126" s="338" t="s">
        <v>1769</v>
      </c>
      <c r="M126" s="89" t="s">
        <v>855</v>
      </c>
      <c r="N126" s="66">
        <v>1</v>
      </c>
      <c r="O126" s="66">
        <v>1</v>
      </c>
      <c r="P126" s="54">
        <v>0</v>
      </c>
      <c r="Q126" s="54" t="s">
        <v>1371</v>
      </c>
    </row>
    <row r="127" spans="1:17" s="55" customFormat="1" x14ac:dyDescent="0.25">
      <c r="A127" s="54">
        <v>124</v>
      </c>
      <c r="B127" s="446"/>
      <c r="C127" s="495"/>
      <c r="D127" s="496"/>
      <c r="E127" s="515"/>
      <c r="F127" s="496"/>
      <c r="G127" s="496"/>
      <c r="H127" s="114">
        <v>420905.93</v>
      </c>
      <c r="I127" s="66">
        <v>1</v>
      </c>
      <c r="J127" s="66" t="s">
        <v>850</v>
      </c>
      <c r="K127" s="331" t="s">
        <v>140</v>
      </c>
      <c r="L127" s="338" t="s">
        <v>1770</v>
      </c>
      <c r="M127" s="89" t="s">
        <v>855</v>
      </c>
      <c r="N127" s="66">
        <v>1</v>
      </c>
      <c r="O127" s="66">
        <v>1</v>
      </c>
      <c r="P127" s="54">
        <v>0</v>
      </c>
      <c r="Q127" s="54" t="s">
        <v>1371</v>
      </c>
    </row>
    <row r="128" spans="1:17" s="55" customFormat="1" ht="37.5" x14ac:dyDescent="0.25">
      <c r="A128" s="54">
        <v>125</v>
      </c>
      <c r="B128" s="66"/>
      <c r="C128" s="89" t="s">
        <v>29</v>
      </c>
      <c r="D128" s="66">
        <v>1</v>
      </c>
      <c r="E128" s="89" t="s">
        <v>30</v>
      </c>
      <c r="F128" s="66" t="s">
        <v>31</v>
      </c>
      <c r="G128" s="66" t="s">
        <v>110</v>
      </c>
      <c r="H128" s="114">
        <v>69825</v>
      </c>
      <c r="I128" s="66">
        <v>1</v>
      </c>
      <c r="J128" s="66" t="s">
        <v>850</v>
      </c>
      <c r="K128" s="331" t="s">
        <v>141</v>
      </c>
      <c r="L128" s="314" t="s">
        <v>1771</v>
      </c>
      <c r="M128" s="89" t="s">
        <v>855</v>
      </c>
      <c r="N128" s="66">
        <v>1</v>
      </c>
      <c r="O128" s="66">
        <v>1</v>
      </c>
      <c r="P128" s="54">
        <v>0</v>
      </c>
      <c r="Q128" s="54" t="s">
        <v>1371</v>
      </c>
    </row>
    <row r="129" spans="1:17" s="55" customFormat="1" x14ac:dyDescent="0.25">
      <c r="A129" s="54">
        <v>126</v>
      </c>
      <c r="B129" s="444"/>
      <c r="C129" s="495" t="s">
        <v>32</v>
      </c>
      <c r="D129" s="496">
        <v>2</v>
      </c>
      <c r="E129" s="495" t="s">
        <v>33</v>
      </c>
      <c r="F129" s="496" t="s">
        <v>34</v>
      </c>
      <c r="G129" s="496" t="s">
        <v>111</v>
      </c>
      <c r="H129" s="114">
        <v>323320</v>
      </c>
      <c r="I129" s="66">
        <v>1</v>
      </c>
      <c r="J129" s="66" t="s">
        <v>850</v>
      </c>
      <c r="K129" s="331" t="s">
        <v>142</v>
      </c>
      <c r="L129" s="226" t="s">
        <v>1772</v>
      </c>
      <c r="M129" s="89" t="s">
        <v>855</v>
      </c>
      <c r="N129" s="66">
        <v>1</v>
      </c>
      <c r="O129" s="66">
        <v>1</v>
      </c>
      <c r="P129" s="54">
        <v>0</v>
      </c>
      <c r="Q129" s="54" t="s">
        <v>1371</v>
      </c>
    </row>
    <row r="130" spans="1:17" s="55" customFormat="1" x14ac:dyDescent="0.25">
      <c r="A130" s="54">
        <v>127</v>
      </c>
      <c r="B130" s="446"/>
      <c r="C130" s="495"/>
      <c r="D130" s="496"/>
      <c r="E130" s="495"/>
      <c r="F130" s="496"/>
      <c r="G130" s="496"/>
      <c r="H130" s="114">
        <v>323320</v>
      </c>
      <c r="I130" s="66">
        <v>1</v>
      </c>
      <c r="J130" s="66" t="s">
        <v>850</v>
      </c>
      <c r="K130" s="331" t="s">
        <v>143</v>
      </c>
      <c r="L130" s="226" t="s">
        <v>1773</v>
      </c>
      <c r="M130" s="89" t="s">
        <v>855</v>
      </c>
      <c r="N130" s="66">
        <v>1</v>
      </c>
      <c r="O130" s="66">
        <v>1</v>
      </c>
      <c r="P130" s="54">
        <v>0</v>
      </c>
      <c r="Q130" s="54" t="s">
        <v>1371</v>
      </c>
    </row>
    <row r="131" spans="1:17" s="55" customFormat="1" x14ac:dyDescent="0.25">
      <c r="A131" s="54">
        <v>128</v>
      </c>
      <c r="B131" s="492" t="s">
        <v>228</v>
      </c>
      <c r="C131" s="495" t="s">
        <v>35</v>
      </c>
      <c r="D131" s="496">
        <v>2</v>
      </c>
      <c r="E131" s="495" t="s">
        <v>36</v>
      </c>
      <c r="F131" s="496" t="s">
        <v>37</v>
      </c>
      <c r="G131" s="496" t="s">
        <v>112</v>
      </c>
      <c r="H131" s="114">
        <v>320443</v>
      </c>
      <c r="I131" s="66">
        <v>1</v>
      </c>
      <c r="J131" s="66" t="s">
        <v>850</v>
      </c>
      <c r="K131" s="331" t="s">
        <v>144</v>
      </c>
      <c r="L131" s="314" t="s">
        <v>1774</v>
      </c>
      <c r="M131" s="89" t="s">
        <v>855</v>
      </c>
      <c r="N131" s="66">
        <v>1</v>
      </c>
      <c r="O131" s="66">
        <v>1</v>
      </c>
      <c r="P131" s="54">
        <v>0</v>
      </c>
      <c r="Q131" s="54" t="s">
        <v>1371</v>
      </c>
    </row>
    <row r="132" spans="1:17" s="55" customFormat="1" x14ac:dyDescent="0.25">
      <c r="A132" s="54">
        <v>129</v>
      </c>
      <c r="B132" s="493"/>
      <c r="C132" s="495"/>
      <c r="D132" s="496"/>
      <c r="E132" s="495"/>
      <c r="F132" s="496"/>
      <c r="G132" s="496"/>
      <c r="H132" s="114">
        <v>320443</v>
      </c>
      <c r="I132" s="66">
        <v>1</v>
      </c>
      <c r="J132" s="66" t="s">
        <v>850</v>
      </c>
      <c r="K132" s="331" t="s">
        <v>145</v>
      </c>
      <c r="L132" s="314" t="s">
        <v>1775</v>
      </c>
      <c r="M132" s="89" t="s">
        <v>855</v>
      </c>
      <c r="N132" s="66">
        <v>1</v>
      </c>
      <c r="O132" s="66">
        <v>1</v>
      </c>
      <c r="P132" s="54">
        <v>0</v>
      </c>
      <c r="Q132" s="54" t="s">
        <v>1371</v>
      </c>
    </row>
    <row r="133" spans="1:17" s="55" customFormat="1" ht="37.5" x14ac:dyDescent="0.25">
      <c r="A133" s="54">
        <v>130</v>
      </c>
      <c r="B133" s="493"/>
      <c r="C133" s="495" t="s">
        <v>38</v>
      </c>
      <c r="D133" s="496">
        <v>2</v>
      </c>
      <c r="E133" s="89" t="s">
        <v>39</v>
      </c>
      <c r="F133" s="496" t="s">
        <v>40</v>
      </c>
      <c r="G133" s="66" t="s">
        <v>113</v>
      </c>
      <c r="H133" s="126">
        <v>320906.5</v>
      </c>
      <c r="I133" s="66">
        <v>1</v>
      </c>
      <c r="J133" s="66" t="s">
        <v>850</v>
      </c>
      <c r="K133" s="331" t="s">
        <v>146</v>
      </c>
      <c r="L133" s="314" t="s">
        <v>1776</v>
      </c>
      <c r="M133" s="89" t="s">
        <v>855</v>
      </c>
      <c r="N133" s="66">
        <v>1</v>
      </c>
      <c r="O133" s="66">
        <v>1</v>
      </c>
      <c r="P133" s="54">
        <v>0</v>
      </c>
      <c r="Q133" s="54" t="s">
        <v>1371</v>
      </c>
    </row>
    <row r="134" spans="1:17" s="55" customFormat="1" ht="37.5" x14ac:dyDescent="0.25">
      <c r="A134" s="54">
        <v>131</v>
      </c>
      <c r="B134" s="493"/>
      <c r="C134" s="495"/>
      <c r="D134" s="496"/>
      <c r="E134" s="89" t="s">
        <v>41</v>
      </c>
      <c r="F134" s="496"/>
      <c r="G134" s="54" t="s">
        <v>114</v>
      </c>
      <c r="H134" s="67">
        <v>320906.5</v>
      </c>
      <c r="I134" s="54">
        <v>1</v>
      </c>
      <c r="J134" s="54" t="s">
        <v>850</v>
      </c>
      <c r="K134" s="226" t="s">
        <v>147</v>
      </c>
      <c r="L134" s="314" t="s">
        <v>1777</v>
      </c>
      <c r="M134" s="54" t="s">
        <v>855</v>
      </c>
      <c r="N134" s="54">
        <v>1</v>
      </c>
      <c r="O134" s="54">
        <v>1</v>
      </c>
      <c r="P134" s="54">
        <v>0</v>
      </c>
      <c r="Q134" s="54" t="s">
        <v>1371</v>
      </c>
    </row>
    <row r="135" spans="1:17" s="55" customFormat="1" ht="37.5" x14ac:dyDescent="0.25">
      <c r="A135" s="54">
        <v>132</v>
      </c>
      <c r="B135" s="494"/>
      <c r="C135" s="120" t="s">
        <v>1361</v>
      </c>
      <c r="D135" s="123">
        <v>1</v>
      </c>
      <c r="E135" s="132" t="s">
        <v>1033</v>
      </c>
      <c r="F135" s="122" t="s">
        <v>1096</v>
      </c>
      <c r="G135" s="119" t="s">
        <v>1097</v>
      </c>
      <c r="H135" s="67">
        <v>447922</v>
      </c>
      <c r="I135" s="54">
        <v>1</v>
      </c>
      <c r="J135" s="54" t="s">
        <v>850</v>
      </c>
      <c r="K135" s="226" t="s">
        <v>864</v>
      </c>
      <c r="L135" s="226" t="s">
        <v>1778</v>
      </c>
      <c r="M135" s="54" t="s">
        <v>855</v>
      </c>
      <c r="N135" s="54">
        <v>1</v>
      </c>
      <c r="O135" s="54">
        <v>1</v>
      </c>
      <c r="P135" s="54">
        <v>0</v>
      </c>
      <c r="Q135" s="54" t="s">
        <v>865</v>
      </c>
    </row>
    <row r="136" spans="1:17" s="55" customFormat="1" ht="24.75" customHeight="1" x14ac:dyDescent="0.25">
      <c r="A136" s="54">
        <v>133</v>
      </c>
      <c r="B136" s="66"/>
      <c r="C136" s="89" t="s">
        <v>51</v>
      </c>
      <c r="D136" s="66">
        <v>1</v>
      </c>
      <c r="E136" s="89" t="s">
        <v>52</v>
      </c>
      <c r="F136" s="89" t="s">
        <v>52</v>
      </c>
      <c r="G136" s="54" t="s">
        <v>52</v>
      </c>
      <c r="H136" s="62">
        <v>150000</v>
      </c>
      <c r="I136" s="54">
        <v>1</v>
      </c>
      <c r="J136" s="54" t="s">
        <v>852</v>
      </c>
      <c r="K136" s="226" t="s">
        <v>186</v>
      </c>
      <c r="L136" s="226" t="s">
        <v>1779</v>
      </c>
      <c r="M136" s="54" t="s">
        <v>855</v>
      </c>
      <c r="N136" s="54">
        <v>1</v>
      </c>
      <c r="O136" s="54">
        <v>1</v>
      </c>
      <c r="P136" s="54">
        <v>0</v>
      </c>
      <c r="Q136" s="54" t="s">
        <v>1371</v>
      </c>
    </row>
    <row r="137" spans="1:17" s="55" customFormat="1" ht="37.5" x14ac:dyDescent="0.25">
      <c r="A137" s="54">
        <v>134</v>
      </c>
      <c r="B137" s="486" t="s">
        <v>230</v>
      </c>
      <c r="C137" s="54" t="s">
        <v>91</v>
      </c>
      <c r="D137" s="54">
        <v>1</v>
      </c>
      <c r="E137" s="54" t="s">
        <v>92</v>
      </c>
      <c r="F137" s="54" t="s">
        <v>93</v>
      </c>
      <c r="G137" s="54" t="s">
        <v>133</v>
      </c>
      <c r="H137" s="67">
        <v>39830</v>
      </c>
      <c r="I137" s="54">
        <v>1</v>
      </c>
      <c r="J137" s="54" t="s">
        <v>853</v>
      </c>
      <c r="K137" s="226" t="s">
        <v>215</v>
      </c>
      <c r="L137" s="338" t="s">
        <v>1780</v>
      </c>
      <c r="M137" s="54" t="s">
        <v>855</v>
      </c>
      <c r="N137" s="54">
        <v>1</v>
      </c>
      <c r="O137" s="54">
        <v>1</v>
      </c>
      <c r="P137" s="54">
        <v>0</v>
      </c>
      <c r="Q137" s="54" t="s">
        <v>1371</v>
      </c>
    </row>
    <row r="138" spans="1:17" s="55" customFormat="1" ht="93.75" x14ac:dyDescent="0.25">
      <c r="A138" s="54">
        <v>135</v>
      </c>
      <c r="B138" s="487"/>
      <c r="C138" s="54" t="s">
        <v>94</v>
      </c>
      <c r="D138" s="54">
        <v>1</v>
      </c>
      <c r="E138" s="54" t="s">
        <v>95</v>
      </c>
      <c r="F138" s="54" t="s">
        <v>96</v>
      </c>
      <c r="G138" s="54" t="s">
        <v>95</v>
      </c>
      <c r="H138" s="67">
        <v>24849</v>
      </c>
      <c r="I138" s="54">
        <v>1</v>
      </c>
      <c r="J138" s="54" t="s">
        <v>853</v>
      </c>
      <c r="K138" s="226" t="s">
        <v>216</v>
      </c>
      <c r="L138" s="314" t="s">
        <v>1781</v>
      </c>
      <c r="M138" s="54" t="s">
        <v>855</v>
      </c>
      <c r="N138" s="54">
        <v>1</v>
      </c>
      <c r="O138" s="54">
        <v>1</v>
      </c>
      <c r="P138" s="54">
        <v>0</v>
      </c>
      <c r="Q138" s="54" t="s">
        <v>1371</v>
      </c>
    </row>
    <row r="139" spans="1:17" s="55" customFormat="1" ht="56.25" x14ac:dyDescent="0.25">
      <c r="A139" s="54">
        <v>136</v>
      </c>
      <c r="B139" s="516" t="s">
        <v>225</v>
      </c>
      <c r="C139" s="54" t="s">
        <v>97</v>
      </c>
      <c r="D139" s="54">
        <v>1</v>
      </c>
      <c r="E139" s="54" t="s">
        <v>98</v>
      </c>
      <c r="F139" s="54" t="s">
        <v>99</v>
      </c>
      <c r="G139" s="54" t="s">
        <v>134</v>
      </c>
      <c r="H139" s="62">
        <v>329227</v>
      </c>
      <c r="I139" s="54">
        <v>1</v>
      </c>
      <c r="J139" s="54" t="s">
        <v>853</v>
      </c>
      <c r="K139" s="226" t="s">
        <v>217</v>
      </c>
      <c r="L139" s="226" t="s">
        <v>1782</v>
      </c>
      <c r="M139" s="54" t="s">
        <v>855</v>
      </c>
      <c r="N139" s="54">
        <v>1</v>
      </c>
      <c r="O139" s="54">
        <v>1</v>
      </c>
      <c r="P139" s="54">
        <v>0</v>
      </c>
      <c r="Q139" s="54" t="s">
        <v>1371</v>
      </c>
    </row>
    <row r="140" spans="1:17" s="55" customFormat="1" ht="56.25" x14ac:dyDescent="0.25">
      <c r="A140" s="54">
        <v>137</v>
      </c>
      <c r="B140" s="516"/>
      <c r="C140" s="54" t="s">
        <v>100</v>
      </c>
      <c r="D140" s="54">
        <v>1</v>
      </c>
      <c r="E140" s="69" t="s">
        <v>101</v>
      </c>
      <c r="F140" s="54" t="s">
        <v>102</v>
      </c>
      <c r="G140" s="69" t="s">
        <v>135</v>
      </c>
      <c r="H140" s="62">
        <v>429070</v>
      </c>
      <c r="I140" s="54">
        <v>1</v>
      </c>
      <c r="J140" s="54" t="s">
        <v>852</v>
      </c>
      <c r="K140" s="226" t="s">
        <v>218</v>
      </c>
      <c r="L140" s="314" t="s">
        <v>1783</v>
      </c>
      <c r="M140" s="54" t="s">
        <v>855</v>
      </c>
      <c r="N140" s="54">
        <v>1</v>
      </c>
      <c r="O140" s="54">
        <v>1</v>
      </c>
      <c r="P140" s="54">
        <v>0</v>
      </c>
      <c r="Q140" s="54" t="s">
        <v>1371</v>
      </c>
    </row>
    <row r="141" spans="1:17" s="55" customFormat="1" ht="37.5" x14ac:dyDescent="0.25">
      <c r="A141" s="54">
        <v>138</v>
      </c>
      <c r="B141" s="509" t="s">
        <v>226</v>
      </c>
      <c r="C141" s="89" t="s">
        <v>103</v>
      </c>
      <c r="D141" s="66">
        <v>1</v>
      </c>
      <c r="E141" s="89" t="s">
        <v>104</v>
      </c>
      <c r="F141" s="66" t="s">
        <v>37</v>
      </c>
      <c r="G141" s="66" t="s">
        <v>136</v>
      </c>
      <c r="H141" s="114">
        <v>223306</v>
      </c>
      <c r="I141" s="66">
        <v>1</v>
      </c>
      <c r="J141" s="66" t="s">
        <v>853</v>
      </c>
      <c r="K141" s="331" t="s">
        <v>219</v>
      </c>
      <c r="L141" s="338" t="s">
        <v>1784</v>
      </c>
      <c r="M141" s="89" t="s">
        <v>855</v>
      </c>
      <c r="N141" s="66">
        <v>1</v>
      </c>
      <c r="O141" s="66">
        <v>1</v>
      </c>
      <c r="P141" s="54">
        <v>0</v>
      </c>
      <c r="Q141" s="54" t="s">
        <v>1371</v>
      </c>
    </row>
    <row r="142" spans="1:17" s="55" customFormat="1" ht="23.25" customHeight="1" x14ac:dyDescent="0.25">
      <c r="A142" s="54">
        <v>139</v>
      </c>
      <c r="B142" s="510"/>
      <c r="C142" s="89" t="s">
        <v>105</v>
      </c>
      <c r="D142" s="66">
        <v>1</v>
      </c>
      <c r="E142" s="495">
        <v>2016</v>
      </c>
      <c r="F142" s="496" t="s">
        <v>102</v>
      </c>
      <c r="G142" s="127" t="s">
        <v>221</v>
      </c>
      <c r="H142" s="114">
        <v>376377</v>
      </c>
      <c r="I142" s="66">
        <v>1</v>
      </c>
      <c r="J142" s="66" t="s">
        <v>852</v>
      </c>
      <c r="K142" s="331" t="s">
        <v>220</v>
      </c>
      <c r="L142" s="314" t="s">
        <v>1785</v>
      </c>
      <c r="M142" s="89" t="s">
        <v>855</v>
      </c>
      <c r="N142" s="66">
        <v>1</v>
      </c>
      <c r="O142" s="66">
        <v>1</v>
      </c>
      <c r="P142" s="54">
        <v>0</v>
      </c>
      <c r="Q142" s="54" t="s">
        <v>1371</v>
      </c>
    </row>
    <row r="143" spans="1:17" s="55" customFormat="1" ht="19.5" customHeight="1" x14ac:dyDescent="0.25">
      <c r="A143" s="54">
        <v>140</v>
      </c>
      <c r="B143" s="510"/>
      <c r="C143" s="89" t="s">
        <v>106</v>
      </c>
      <c r="D143" s="66">
        <v>1</v>
      </c>
      <c r="E143" s="495"/>
      <c r="F143" s="496"/>
      <c r="G143" s="127" t="s">
        <v>221</v>
      </c>
      <c r="H143" s="114">
        <v>236580</v>
      </c>
      <c r="I143" s="66">
        <v>1</v>
      </c>
      <c r="J143" s="66" t="s">
        <v>852</v>
      </c>
      <c r="K143" s="331" t="s">
        <v>221</v>
      </c>
      <c r="L143" s="331" t="s">
        <v>1786</v>
      </c>
      <c r="M143" s="89" t="s">
        <v>855</v>
      </c>
      <c r="N143" s="66">
        <v>1</v>
      </c>
      <c r="O143" s="66">
        <v>1</v>
      </c>
      <c r="P143" s="54">
        <v>0</v>
      </c>
      <c r="Q143" s="54" t="s">
        <v>1371</v>
      </c>
    </row>
    <row r="144" spans="1:17" s="55" customFormat="1" ht="40.5" customHeight="1" x14ac:dyDescent="0.25">
      <c r="A144" s="54">
        <v>141</v>
      </c>
      <c r="B144" s="510"/>
      <c r="C144" s="54" t="s">
        <v>872</v>
      </c>
      <c r="D144" s="54">
        <v>1</v>
      </c>
      <c r="E144" s="54" t="s">
        <v>1035</v>
      </c>
      <c r="F144" s="54" t="s">
        <v>1098</v>
      </c>
      <c r="G144" s="54" t="s">
        <v>1099</v>
      </c>
      <c r="H144" s="62">
        <v>40320</v>
      </c>
      <c r="I144" s="54">
        <v>1</v>
      </c>
      <c r="J144" s="54" t="s">
        <v>853</v>
      </c>
      <c r="K144" s="226">
        <v>6164259</v>
      </c>
      <c r="L144" s="314" t="s">
        <v>1787</v>
      </c>
      <c r="M144" s="54" t="s">
        <v>855</v>
      </c>
      <c r="N144" s="54">
        <v>1</v>
      </c>
      <c r="O144" s="54">
        <v>1</v>
      </c>
      <c r="P144" s="54">
        <v>0</v>
      </c>
      <c r="Q144" s="54" t="s">
        <v>1371</v>
      </c>
    </row>
    <row r="145" spans="1:17" s="55" customFormat="1" ht="49.5" customHeight="1" x14ac:dyDescent="0.25">
      <c r="A145" s="54">
        <v>142</v>
      </c>
      <c r="B145" s="511"/>
      <c r="C145" s="54" t="s">
        <v>1134</v>
      </c>
      <c r="D145" s="54">
        <v>1</v>
      </c>
      <c r="E145" s="54" t="s">
        <v>1135</v>
      </c>
      <c r="F145" s="54" t="s">
        <v>1136</v>
      </c>
      <c r="G145" s="127" t="s">
        <v>221</v>
      </c>
      <c r="H145" s="62">
        <v>42240</v>
      </c>
      <c r="I145" s="54">
        <v>1</v>
      </c>
      <c r="J145" s="54" t="s">
        <v>850</v>
      </c>
      <c r="K145" s="226" t="s">
        <v>1137</v>
      </c>
      <c r="L145" s="314" t="s">
        <v>1788</v>
      </c>
      <c r="M145" s="54" t="s">
        <v>855</v>
      </c>
      <c r="N145" s="54">
        <v>1</v>
      </c>
      <c r="O145" s="54">
        <v>1</v>
      </c>
      <c r="P145" s="54">
        <v>0</v>
      </c>
      <c r="Q145" s="223" t="s">
        <v>1371</v>
      </c>
    </row>
    <row r="146" spans="1:17" s="55" customFormat="1" ht="44.25" customHeight="1" x14ac:dyDescent="0.25">
      <c r="A146" s="54">
        <v>143</v>
      </c>
      <c r="B146" s="66" t="s">
        <v>969</v>
      </c>
      <c r="C146" s="54" t="s">
        <v>968</v>
      </c>
      <c r="D146" s="54">
        <v>1</v>
      </c>
      <c r="E146" s="54" t="s">
        <v>1100</v>
      </c>
      <c r="F146" s="54" t="s">
        <v>1104</v>
      </c>
      <c r="G146" s="127" t="s">
        <v>221</v>
      </c>
      <c r="H146" s="57">
        <v>49000</v>
      </c>
      <c r="I146" s="54">
        <v>1</v>
      </c>
      <c r="J146" s="54" t="s">
        <v>850</v>
      </c>
      <c r="K146" s="226">
        <v>1695</v>
      </c>
      <c r="L146" s="226" t="s">
        <v>1789</v>
      </c>
      <c r="M146" s="54" t="s">
        <v>855</v>
      </c>
      <c r="N146" s="54">
        <v>1</v>
      </c>
      <c r="O146" s="54">
        <v>1</v>
      </c>
      <c r="P146" s="54">
        <v>0</v>
      </c>
      <c r="Q146" s="54" t="s">
        <v>1371</v>
      </c>
    </row>
    <row r="147" spans="1:17" s="55" customFormat="1" ht="40.5" customHeight="1" x14ac:dyDescent="0.25">
      <c r="A147" s="54">
        <v>144</v>
      </c>
      <c r="B147" s="66" t="s">
        <v>1443</v>
      </c>
      <c r="C147" s="54" t="s">
        <v>1390</v>
      </c>
      <c r="D147" s="54">
        <v>1</v>
      </c>
      <c r="E147" s="54" t="s">
        <v>1445</v>
      </c>
      <c r="F147" s="54" t="s">
        <v>99</v>
      </c>
      <c r="G147" s="54" t="s">
        <v>1444</v>
      </c>
      <c r="H147" s="62">
        <v>63060.21</v>
      </c>
      <c r="I147" s="54">
        <v>1</v>
      </c>
      <c r="J147" s="54" t="s">
        <v>876</v>
      </c>
      <c r="K147" s="226" t="s">
        <v>1391</v>
      </c>
      <c r="L147" s="226" t="s">
        <v>1790</v>
      </c>
      <c r="M147" s="54" t="s">
        <v>855</v>
      </c>
      <c r="N147" s="54">
        <v>1</v>
      </c>
      <c r="O147" s="54">
        <v>1</v>
      </c>
      <c r="P147" s="54">
        <v>0</v>
      </c>
      <c r="Q147" s="223" t="s">
        <v>1371</v>
      </c>
    </row>
    <row r="148" spans="1:17" s="55" customFormat="1" ht="47.25" customHeight="1" x14ac:dyDescent="0.25">
      <c r="A148" s="54">
        <v>145</v>
      </c>
      <c r="B148" s="66" t="s">
        <v>1392</v>
      </c>
      <c r="C148" s="54" t="s">
        <v>1393</v>
      </c>
      <c r="D148" s="54">
        <v>1</v>
      </c>
      <c r="E148" s="54" t="s">
        <v>1446</v>
      </c>
      <c r="F148" s="54" t="s">
        <v>99</v>
      </c>
      <c r="G148" s="54" t="s">
        <v>1447</v>
      </c>
      <c r="H148" s="62">
        <v>41161.65</v>
      </c>
      <c r="I148" s="54">
        <v>1</v>
      </c>
      <c r="J148" s="54" t="s">
        <v>876</v>
      </c>
      <c r="K148" s="226" t="s">
        <v>1394</v>
      </c>
      <c r="L148" s="226" t="s">
        <v>1792</v>
      </c>
      <c r="M148" s="237" t="s">
        <v>855</v>
      </c>
      <c r="N148" s="54">
        <v>1</v>
      </c>
      <c r="O148" s="54">
        <v>1</v>
      </c>
      <c r="P148" s="54">
        <v>0</v>
      </c>
      <c r="Q148" s="223" t="s">
        <v>1371</v>
      </c>
    </row>
    <row r="149" spans="1:17" s="55" customFormat="1" ht="42" customHeight="1" x14ac:dyDescent="0.25">
      <c r="A149" s="54">
        <v>146</v>
      </c>
      <c r="B149" s="66" t="s">
        <v>1395</v>
      </c>
      <c r="C149" s="54" t="s">
        <v>1397</v>
      </c>
      <c r="D149" s="54">
        <v>1</v>
      </c>
      <c r="E149" s="54" t="s">
        <v>1457</v>
      </c>
      <c r="F149" s="54" t="s">
        <v>1458</v>
      </c>
      <c r="G149" s="54" t="s">
        <v>1459</v>
      </c>
      <c r="H149" s="62">
        <v>39822</v>
      </c>
      <c r="I149" s="54"/>
      <c r="J149" s="54" t="s">
        <v>876</v>
      </c>
      <c r="K149" s="226" t="s">
        <v>1396</v>
      </c>
      <c r="L149" s="334" t="s">
        <v>1873</v>
      </c>
      <c r="M149" s="237" t="s">
        <v>855</v>
      </c>
      <c r="N149" s="54">
        <v>1</v>
      </c>
      <c r="O149" s="54">
        <v>1</v>
      </c>
      <c r="P149" s="54">
        <v>0</v>
      </c>
      <c r="Q149" s="223" t="s">
        <v>1371</v>
      </c>
    </row>
    <row r="150" spans="1:17" s="55" customFormat="1" ht="57" customHeight="1" x14ac:dyDescent="0.25">
      <c r="A150" s="54">
        <v>147</v>
      </c>
      <c r="B150" s="66"/>
      <c r="C150" s="54" t="s">
        <v>1426</v>
      </c>
      <c r="D150" s="54"/>
      <c r="E150" s="54" t="s">
        <v>1425</v>
      </c>
      <c r="F150" s="54" t="s">
        <v>1427</v>
      </c>
      <c r="G150" s="54" t="s">
        <v>1429</v>
      </c>
      <c r="H150" s="62">
        <v>67850</v>
      </c>
      <c r="I150" s="66">
        <v>1</v>
      </c>
      <c r="J150" s="66" t="s">
        <v>850</v>
      </c>
      <c r="K150" s="314" t="s">
        <v>1430</v>
      </c>
      <c r="L150" s="314" t="s">
        <v>1791</v>
      </c>
      <c r="M150" s="238" t="s">
        <v>855</v>
      </c>
      <c r="N150" s="54">
        <v>1</v>
      </c>
      <c r="O150" s="54">
        <v>1</v>
      </c>
      <c r="P150" s="54">
        <v>0</v>
      </c>
      <c r="Q150" s="223" t="s">
        <v>1371</v>
      </c>
    </row>
    <row r="151" spans="1:17" s="55" customFormat="1" ht="49.5" customHeight="1" x14ac:dyDescent="0.25">
      <c r="A151" s="54">
        <v>148</v>
      </c>
      <c r="B151" s="66" t="s">
        <v>1398</v>
      </c>
      <c r="C151" s="54" t="s">
        <v>677</v>
      </c>
      <c r="D151" s="54">
        <v>2</v>
      </c>
      <c r="E151" s="223" t="s">
        <v>1965</v>
      </c>
      <c r="F151" s="223" t="s">
        <v>1415</v>
      </c>
      <c r="G151" s="54" t="s">
        <v>1454</v>
      </c>
      <c r="H151" s="62">
        <v>280800</v>
      </c>
      <c r="I151" s="54">
        <v>1</v>
      </c>
      <c r="J151" s="54" t="s">
        <v>850</v>
      </c>
      <c r="K151" s="342" t="s">
        <v>1963</v>
      </c>
      <c r="L151" s="342" t="s">
        <v>1964</v>
      </c>
      <c r="M151" s="237" t="s">
        <v>855</v>
      </c>
      <c r="N151" s="54">
        <v>1</v>
      </c>
      <c r="O151" s="54">
        <v>1</v>
      </c>
      <c r="P151" s="54">
        <v>0</v>
      </c>
      <c r="Q151" s="223" t="s">
        <v>1371</v>
      </c>
    </row>
    <row r="152" spans="1:17" s="55" customFormat="1" ht="33" customHeight="1" x14ac:dyDescent="0.25">
      <c r="A152" s="54">
        <v>149</v>
      </c>
      <c r="B152" s="66"/>
      <c r="C152" s="54"/>
      <c r="D152" s="54"/>
      <c r="E152" s="54"/>
      <c r="F152" s="54"/>
      <c r="G152" s="54"/>
      <c r="H152" s="62"/>
      <c r="I152" s="54">
        <v>1</v>
      </c>
      <c r="J152" s="54" t="s">
        <v>850</v>
      </c>
      <c r="K152" s="342" t="s">
        <v>1961</v>
      </c>
      <c r="L152" s="342" t="s">
        <v>1962</v>
      </c>
      <c r="M152" s="237" t="s">
        <v>855</v>
      </c>
      <c r="N152" s="54">
        <v>1</v>
      </c>
      <c r="O152" s="54">
        <v>1</v>
      </c>
      <c r="P152" s="54">
        <v>0</v>
      </c>
      <c r="Q152" s="223" t="s">
        <v>1371</v>
      </c>
    </row>
    <row r="153" spans="1:17" s="55" customFormat="1" ht="42" customHeight="1" x14ac:dyDescent="0.25">
      <c r="A153" s="54">
        <v>150</v>
      </c>
      <c r="B153" s="66" t="s">
        <v>1431</v>
      </c>
      <c r="C153" s="54" t="s">
        <v>677</v>
      </c>
      <c r="D153" s="54">
        <v>1</v>
      </c>
      <c r="E153" s="54" t="s">
        <v>1450</v>
      </c>
      <c r="F153" s="54" t="s">
        <v>1452</v>
      </c>
      <c r="G153" s="54" t="s">
        <v>1451</v>
      </c>
      <c r="H153" s="62">
        <v>55499</v>
      </c>
      <c r="I153" s="66">
        <v>1</v>
      </c>
      <c r="J153" s="66" t="s">
        <v>850</v>
      </c>
      <c r="K153" s="314" t="s">
        <v>1449</v>
      </c>
      <c r="L153" s="314" t="s">
        <v>2104</v>
      </c>
      <c r="M153" s="238" t="s">
        <v>855</v>
      </c>
      <c r="N153" s="54">
        <v>1</v>
      </c>
      <c r="O153" s="54">
        <v>1</v>
      </c>
      <c r="P153" s="54">
        <v>0</v>
      </c>
      <c r="Q153" s="223" t="s">
        <v>1371</v>
      </c>
    </row>
    <row r="154" spans="1:17" s="193" customFormat="1" ht="21" x14ac:dyDescent="0.25">
      <c r="A154" s="191"/>
      <c r="B154" s="191"/>
      <c r="C154" s="192"/>
      <c r="D154" s="190">
        <f>SUM(D4:D153)</f>
        <v>149</v>
      </c>
      <c r="E154" s="192"/>
      <c r="F154" s="192"/>
      <c r="G154" s="192"/>
      <c r="H154" s="194">
        <f>SUM(H4:H153)</f>
        <v>12584164.210000001</v>
      </c>
      <c r="I154" s="190">
        <f>SUM(I4:I153)</f>
        <v>149</v>
      </c>
      <c r="J154" s="192"/>
      <c r="K154" s="345"/>
      <c r="L154" s="345"/>
      <c r="M154" s="239"/>
      <c r="N154" s="192"/>
      <c r="O154" s="192"/>
      <c r="P154" s="192"/>
      <c r="Q154" s="191"/>
    </row>
    <row r="155" spans="1:17" x14ac:dyDescent="0.25"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</row>
    <row r="156" spans="1:17" x14ac:dyDescent="0.25"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</row>
    <row r="157" spans="1:17" x14ac:dyDescent="0.25"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</row>
  </sheetData>
  <mergeCells count="126">
    <mergeCell ref="D83:D88"/>
    <mergeCell ref="F83:F88"/>
    <mergeCell ref="E90:E95"/>
    <mergeCell ref="C90:C99"/>
    <mergeCell ref="H90:H95"/>
    <mergeCell ref="H96:H97"/>
    <mergeCell ref="G81:G82"/>
    <mergeCell ref="G83:G88"/>
    <mergeCell ref="G116:G117"/>
    <mergeCell ref="F116:F117"/>
    <mergeCell ref="E116:E117"/>
    <mergeCell ref="E110:E113"/>
    <mergeCell ref="C109:C115"/>
    <mergeCell ref="E96:E97"/>
    <mergeCell ref="C116:C117"/>
    <mergeCell ref="D116:D117"/>
    <mergeCell ref="G90:G95"/>
    <mergeCell ref="D109:D115"/>
    <mergeCell ref="F90:F95"/>
    <mergeCell ref="B141:B145"/>
    <mergeCell ref="G119:G120"/>
    <mergeCell ref="E129:E130"/>
    <mergeCell ref="E126:E127"/>
    <mergeCell ref="E119:E120"/>
    <mergeCell ref="G121:G122"/>
    <mergeCell ref="D121:D123"/>
    <mergeCell ref="C129:C130"/>
    <mergeCell ref="C126:C127"/>
    <mergeCell ref="D126:D127"/>
    <mergeCell ref="F129:F130"/>
    <mergeCell ref="F126:F127"/>
    <mergeCell ref="G126:G127"/>
    <mergeCell ref="G131:G132"/>
    <mergeCell ref="E142:E143"/>
    <mergeCell ref="F142:F143"/>
    <mergeCell ref="F133:F134"/>
    <mergeCell ref="B139:B140"/>
    <mergeCell ref="C133:C134"/>
    <mergeCell ref="D133:D134"/>
    <mergeCell ref="C131:C132"/>
    <mergeCell ref="D131:D132"/>
    <mergeCell ref="G129:G130"/>
    <mergeCell ref="D129:D130"/>
    <mergeCell ref="E48:E52"/>
    <mergeCell ref="F48:F52"/>
    <mergeCell ref="F60:F62"/>
    <mergeCell ref="F63:F64"/>
    <mergeCell ref="E63:E64"/>
    <mergeCell ref="G65:G68"/>
    <mergeCell ref="G79:G80"/>
    <mergeCell ref="B4:B42"/>
    <mergeCell ref="E31:E42"/>
    <mergeCell ref="F31:F42"/>
    <mergeCell ref="E4:E15"/>
    <mergeCell ref="F4:F15"/>
    <mergeCell ref="G4:G15"/>
    <mergeCell ref="C4:C15"/>
    <mergeCell ref="D4:D15"/>
    <mergeCell ref="F45:F46"/>
    <mergeCell ref="E45:E46"/>
    <mergeCell ref="D65:D70"/>
    <mergeCell ref="D59:D64"/>
    <mergeCell ref="C73:C82"/>
    <mergeCell ref="D73:D82"/>
    <mergeCell ref="C119:C120"/>
    <mergeCell ref="D119:D120"/>
    <mergeCell ref="G31:G42"/>
    <mergeCell ref="C16:C30"/>
    <mergeCell ref="D16:D30"/>
    <mergeCell ref="E16:E30"/>
    <mergeCell ref="F16:F30"/>
    <mergeCell ref="G16:G30"/>
    <mergeCell ref="G60:G62"/>
    <mergeCell ref="G63:G64"/>
    <mergeCell ref="F96:F97"/>
    <mergeCell ref="G96:G97"/>
    <mergeCell ref="F110:F114"/>
    <mergeCell ref="G110:G113"/>
    <mergeCell ref="C104:C105"/>
    <mergeCell ref="D104:D105"/>
    <mergeCell ref="G73:G78"/>
    <mergeCell ref="D31:D42"/>
    <mergeCell ref="C31:C42"/>
    <mergeCell ref="E60:E62"/>
    <mergeCell ref="D90:D99"/>
    <mergeCell ref="C65:C70"/>
    <mergeCell ref="C43:C54"/>
    <mergeCell ref="D43:D54"/>
    <mergeCell ref="A1:Q1"/>
    <mergeCell ref="A2:A3"/>
    <mergeCell ref="C2:C3"/>
    <mergeCell ref="D2:D3"/>
    <mergeCell ref="E2:E3"/>
    <mergeCell ref="F2:F3"/>
    <mergeCell ref="G2:G3"/>
    <mergeCell ref="H2:H3"/>
    <mergeCell ref="I2:K2"/>
    <mergeCell ref="P2:P3"/>
    <mergeCell ref="Q2:Q3"/>
    <mergeCell ref="M2:M3"/>
    <mergeCell ref="N2:N3"/>
    <mergeCell ref="O2:O3"/>
    <mergeCell ref="R2:R3"/>
    <mergeCell ref="B137:B138"/>
    <mergeCell ref="F79:F80"/>
    <mergeCell ref="F81:F82"/>
    <mergeCell ref="E65:E68"/>
    <mergeCell ref="F65:F68"/>
    <mergeCell ref="E73:E78"/>
    <mergeCell ref="F73:F78"/>
    <mergeCell ref="C121:C123"/>
    <mergeCell ref="E79:E80"/>
    <mergeCell ref="E81:E82"/>
    <mergeCell ref="E83:E88"/>
    <mergeCell ref="C83:C88"/>
    <mergeCell ref="B131:B135"/>
    <mergeCell ref="E131:E132"/>
    <mergeCell ref="F131:F132"/>
    <mergeCell ref="E121:E122"/>
    <mergeCell ref="F121:F123"/>
    <mergeCell ref="F119:F120"/>
    <mergeCell ref="B126:B127"/>
    <mergeCell ref="B129:B130"/>
    <mergeCell ref="B56:B88"/>
    <mergeCell ref="B89:B123"/>
    <mergeCell ref="C59:C6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5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76"/>
  <sheetViews>
    <sheetView zoomScale="70" zoomScaleNormal="70" zoomScaleSheetLayoutView="100" workbookViewId="0">
      <pane ySplit="3" topLeftCell="A34" activePane="bottomLeft" state="frozen"/>
      <selection activeCell="B16" sqref="B16"/>
      <selection pane="bottomLeft" activeCell="K42" sqref="K42"/>
    </sheetView>
  </sheetViews>
  <sheetFormatPr defaultColWidth="9.140625" defaultRowHeight="18.75" x14ac:dyDescent="0.25"/>
  <cols>
    <col min="1" max="1" width="7.28515625" style="55" bestFit="1" customWidth="1"/>
    <col min="2" max="2" width="16.5703125" style="55" customWidth="1"/>
    <col min="3" max="3" width="31.5703125" style="55" bestFit="1" customWidth="1"/>
    <col min="4" max="4" width="6.5703125" style="55" bestFit="1" customWidth="1"/>
    <col min="5" max="5" width="30.140625" style="55" customWidth="1"/>
    <col min="6" max="6" width="21.42578125" style="55" customWidth="1"/>
    <col min="7" max="7" width="18.5703125" style="55" customWidth="1"/>
    <col min="8" max="8" width="21.5703125" style="174" customWidth="1"/>
    <col min="9" max="9" width="6.5703125" style="55" bestFit="1" customWidth="1"/>
    <col min="10" max="10" width="14.28515625" style="55" bestFit="1" customWidth="1"/>
    <col min="11" max="11" width="36" style="55" customWidth="1"/>
    <col min="12" max="12" width="22.42578125" style="58" customWidth="1"/>
    <col min="13" max="13" width="18.5703125" style="55" customWidth="1"/>
    <col min="14" max="14" width="9.28515625" style="55" bestFit="1" customWidth="1"/>
    <col min="15" max="16" width="12.85546875" style="55" customWidth="1"/>
    <col min="17" max="17" width="19" style="55" customWidth="1"/>
    <col min="18" max="16384" width="9.140625" style="55"/>
  </cols>
  <sheetData>
    <row r="1" spans="1:17" ht="21" x14ac:dyDescent="0.25">
      <c r="A1" s="546" t="s">
        <v>1462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</row>
    <row r="2" spans="1:17" ht="21.75" customHeight="1" x14ac:dyDescent="0.25">
      <c r="A2" s="547" t="s">
        <v>0</v>
      </c>
      <c r="B2" s="106"/>
      <c r="C2" s="547" t="s">
        <v>1</v>
      </c>
      <c r="D2" s="547" t="s">
        <v>2</v>
      </c>
      <c r="E2" s="502" t="s">
        <v>10</v>
      </c>
      <c r="F2" s="547" t="s">
        <v>3</v>
      </c>
      <c r="G2" s="547" t="s">
        <v>4</v>
      </c>
      <c r="H2" s="549" t="s">
        <v>5</v>
      </c>
      <c r="I2" s="551" t="s">
        <v>9</v>
      </c>
      <c r="J2" s="552"/>
      <c r="K2" s="553"/>
      <c r="L2" s="346"/>
      <c r="M2" s="482" t="s">
        <v>1025</v>
      </c>
      <c r="N2" s="447" t="s">
        <v>6</v>
      </c>
      <c r="O2" s="447" t="s">
        <v>7</v>
      </c>
      <c r="P2" s="447" t="s">
        <v>8</v>
      </c>
      <c r="Q2" s="447" t="s">
        <v>836</v>
      </c>
    </row>
    <row r="3" spans="1:17" ht="30.75" customHeight="1" x14ac:dyDescent="0.25">
      <c r="A3" s="548"/>
      <c r="B3" s="106"/>
      <c r="C3" s="548"/>
      <c r="D3" s="548"/>
      <c r="E3" s="502"/>
      <c r="F3" s="548"/>
      <c r="G3" s="548"/>
      <c r="H3" s="550"/>
      <c r="I3" s="154" t="s">
        <v>11</v>
      </c>
      <c r="J3" s="154" t="s">
        <v>676</v>
      </c>
      <c r="K3" s="154" t="s">
        <v>12</v>
      </c>
      <c r="L3" s="347" t="s">
        <v>1915</v>
      </c>
      <c r="M3" s="484"/>
      <c r="N3" s="447"/>
      <c r="O3" s="447"/>
      <c r="P3" s="447"/>
      <c r="Q3" s="447"/>
    </row>
    <row r="4" spans="1:17" ht="37.5" x14ac:dyDescent="0.25">
      <c r="A4" s="66">
        <v>1</v>
      </c>
      <c r="B4" s="542" t="s">
        <v>350</v>
      </c>
      <c r="C4" s="464" t="s">
        <v>231</v>
      </c>
      <c r="D4" s="464">
        <v>2</v>
      </c>
      <c r="E4" s="54" t="s">
        <v>232</v>
      </c>
      <c r="F4" s="464" t="s">
        <v>233</v>
      </c>
      <c r="G4" s="464" t="s">
        <v>234</v>
      </c>
      <c r="H4" s="67">
        <v>259000</v>
      </c>
      <c r="I4" s="54">
        <v>1</v>
      </c>
      <c r="J4" s="54" t="s">
        <v>838</v>
      </c>
      <c r="K4" s="54" t="s">
        <v>236</v>
      </c>
      <c r="L4" s="342" t="s">
        <v>1793</v>
      </c>
      <c r="M4" s="54" t="s">
        <v>873</v>
      </c>
      <c r="N4" s="54">
        <v>1</v>
      </c>
      <c r="O4" s="54">
        <v>1</v>
      </c>
      <c r="P4" s="66">
        <v>0</v>
      </c>
      <c r="Q4" s="66" t="s">
        <v>1371</v>
      </c>
    </row>
    <row r="5" spans="1:17" ht="37.5" x14ac:dyDescent="0.25">
      <c r="A5" s="66">
        <v>2</v>
      </c>
      <c r="B5" s="542"/>
      <c r="C5" s="464"/>
      <c r="D5" s="464"/>
      <c r="E5" s="54" t="s">
        <v>235</v>
      </c>
      <c r="F5" s="464"/>
      <c r="G5" s="464"/>
      <c r="H5" s="67">
        <v>362190</v>
      </c>
      <c r="I5" s="54">
        <v>1</v>
      </c>
      <c r="J5" s="54" t="s">
        <v>838</v>
      </c>
      <c r="K5" s="54" t="s">
        <v>237</v>
      </c>
      <c r="L5" s="342" t="s">
        <v>1794</v>
      </c>
      <c r="M5" s="54" t="s">
        <v>873</v>
      </c>
      <c r="N5" s="54">
        <v>1</v>
      </c>
      <c r="O5" s="54">
        <v>1</v>
      </c>
      <c r="P5" s="66">
        <v>0</v>
      </c>
      <c r="Q5" s="66" t="s">
        <v>1371</v>
      </c>
    </row>
    <row r="6" spans="1:17" x14ac:dyDescent="0.3">
      <c r="A6" s="66">
        <v>3</v>
      </c>
      <c r="B6" s="542" t="s">
        <v>353</v>
      </c>
      <c r="C6" s="54" t="s">
        <v>238</v>
      </c>
      <c r="D6" s="54">
        <v>1</v>
      </c>
      <c r="E6" s="464">
        <v>1998</v>
      </c>
      <c r="F6" s="464" t="s">
        <v>221</v>
      </c>
      <c r="G6" s="464" t="s">
        <v>221</v>
      </c>
      <c r="H6" s="67">
        <v>400000</v>
      </c>
      <c r="I6" s="54">
        <v>1</v>
      </c>
      <c r="J6" s="54" t="s">
        <v>838</v>
      </c>
      <c r="K6" s="54" t="s">
        <v>221</v>
      </c>
      <c r="L6" s="344" t="s">
        <v>2007</v>
      </c>
      <c r="M6" s="54" t="s">
        <v>873</v>
      </c>
      <c r="N6" s="54">
        <v>1</v>
      </c>
      <c r="O6" s="54">
        <v>1</v>
      </c>
      <c r="P6" s="66">
        <v>0</v>
      </c>
      <c r="Q6" s="66" t="s">
        <v>1371</v>
      </c>
    </row>
    <row r="7" spans="1:17" x14ac:dyDescent="0.25">
      <c r="A7" s="66">
        <v>4</v>
      </c>
      <c r="B7" s="542"/>
      <c r="C7" s="54" t="s">
        <v>239</v>
      </c>
      <c r="D7" s="54">
        <v>1</v>
      </c>
      <c r="E7" s="464"/>
      <c r="F7" s="464"/>
      <c r="G7" s="464"/>
      <c r="H7" s="67">
        <v>300000</v>
      </c>
      <c r="I7" s="54">
        <v>1</v>
      </c>
      <c r="J7" s="54" t="s">
        <v>838</v>
      </c>
      <c r="K7" s="242" t="s">
        <v>221</v>
      </c>
      <c r="L7" s="350" t="s">
        <v>2008</v>
      </c>
      <c r="M7" s="237" t="s">
        <v>873</v>
      </c>
      <c r="N7" s="54">
        <v>1</v>
      </c>
      <c r="O7" s="54">
        <v>1</v>
      </c>
      <c r="P7" s="66">
        <v>0</v>
      </c>
      <c r="Q7" s="66" t="s">
        <v>1371</v>
      </c>
    </row>
    <row r="8" spans="1:17" x14ac:dyDescent="0.25">
      <c r="A8" s="66">
        <v>5</v>
      </c>
      <c r="B8" s="66"/>
      <c r="C8" s="54" t="s">
        <v>240</v>
      </c>
      <c r="D8" s="54">
        <v>1</v>
      </c>
      <c r="E8" s="464" t="s">
        <v>243</v>
      </c>
      <c r="F8" s="464" t="s">
        <v>244</v>
      </c>
      <c r="G8" s="464" t="s">
        <v>221</v>
      </c>
      <c r="H8" s="67">
        <v>405000</v>
      </c>
      <c r="I8" s="54">
        <v>1</v>
      </c>
      <c r="J8" s="54" t="s">
        <v>838</v>
      </c>
      <c r="K8" s="242">
        <v>16976</v>
      </c>
      <c r="L8" s="342" t="s">
        <v>2287</v>
      </c>
      <c r="M8" s="237" t="s">
        <v>873</v>
      </c>
      <c r="N8" s="54">
        <v>1</v>
      </c>
      <c r="O8" s="54">
        <v>1</v>
      </c>
      <c r="P8" s="66">
        <v>0</v>
      </c>
      <c r="Q8" s="66" t="s">
        <v>1371</v>
      </c>
    </row>
    <row r="9" spans="1:17" ht="56.25" x14ac:dyDescent="0.25">
      <c r="A9" s="66">
        <v>6</v>
      </c>
      <c r="B9" s="66" t="s">
        <v>1364</v>
      </c>
      <c r="C9" s="54" t="s">
        <v>241</v>
      </c>
      <c r="D9" s="54">
        <v>1</v>
      </c>
      <c r="E9" s="464"/>
      <c r="F9" s="464"/>
      <c r="G9" s="464"/>
      <c r="H9" s="67">
        <v>76000</v>
      </c>
      <c r="I9" s="54">
        <v>1</v>
      </c>
      <c r="J9" s="54" t="s">
        <v>838</v>
      </c>
      <c r="K9" s="242" t="s">
        <v>245</v>
      </c>
      <c r="L9" s="342" t="s">
        <v>1795</v>
      </c>
      <c r="M9" s="237" t="s">
        <v>873</v>
      </c>
      <c r="N9" s="54">
        <v>1</v>
      </c>
      <c r="O9" s="54">
        <v>1</v>
      </c>
      <c r="P9" s="66">
        <v>0</v>
      </c>
      <c r="Q9" s="66" t="s">
        <v>1371</v>
      </c>
    </row>
    <row r="10" spans="1:17" ht="37.5" x14ac:dyDescent="0.25">
      <c r="A10" s="66">
        <v>7</v>
      </c>
      <c r="B10" s="66"/>
      <c r="C10" s="54" t="s">
        <v>242</v>
      </c>
      <c r="D10" s="54">
        <v>1</v>
      </c>
      <c r="E10" s="464"/>
      <c r="F10" s="464"/>
      <c r="G10" s="464"/>
      <c r="H10" s="67">
        <v>249300</v>
      </c>
      <c r="I10" s="54">
        <v>1</v>
      </c>
      <c r="J10" s="54" t="s">
        <v>838</v>
      </c>
      <c r="K10" s="242">
        <v>422367</v>
      </c>
      <c r="L10" s="226" t="s">
        <v>2286</v>
      </c>
      <c r="M10" s="237" t="s">
        <v>873</v>
      </c>
      <c r="N10" s="54">
        <v>1</v>
      </c>
      <c r="O10" s="54">
        <v>1</v>
      </c>
      <c r="P10" s="66">
        <v>0</v>
      </c>
      <c r="Q10" s="66" t="s">
        <v>1371</v>
      </c>
    </row>
    <row r="11" spans="1:17" ht="51" customHeight="1" x14ac:dyDescent="0.25">
      <c r="A11" s="66">
        <v>8</v>
      </c>
      <c r="B11" s="428" t="s">
        <v>318</v>
      </c>
      <c r="C11" s="54" t="s">
        <v>246</v>
      </c>
      <c r="D11" s="54">
        <v>1</v>
      </c>
      <c r="E11" s="54" t="s">
        <v>247</v>
      </c>
      <c r="F11" s="54" t="s">
        <v>248</v>
      </c>
      <c r="G11" s="54" t="s">
        <v>249</v>
      </c>
      <c r="H11" s="67">
        <v>420000</v>
      </c>
      <c r="I11" s="54">
        <v>1</v>
      </c>
      <c r="J11" s="54" t="s">
        <v>838</v>
      </c>
      <c r="K11" s="54" t="s">
        <v>250</v>
      </c>
      <c r="L11" s="351" t="s">
        <v>1796</v>
      </c>
      <c r="M11" s="54" t="s">
        <v>873</v>
      </c>
      <c r="N11" s="54">
        <v>1</v>
      </c>
      <c r="O11" s="54">
        <v>1</v>
      </c>
      <c r="P11" s="66">
        <v>0</v>
      </c>
      <c r="Q11" s="66" t="s">
        <v>1371</v>
      </c>
    </row>
    <row r="12" spans="1:17" ht="39" customHeight="1" x14ac:dyDescent="0.25">
      <c r="A12" s="66">
        <v>9</v>
      </c>
      <c r="B12" s="429"/>
      <c r="C12" s="54" t="s">
        <v>251</v>
      </c>
      <c r="D12" s="54">
        <v>1</v>
      </c>
      <c r="E12" s="54" t="s">
        <v>252</v>
      </c>
      <c r="F12" s="54" t="s">
        <v>221</v>
      </c>
      <c r="G12" s="54" t="s">
        <v>221</v>
      </c>
      <c r="H12" s="67">
        <v>31915</v>
      </c>
      <c r="I12" s="54">
        <v>1</v>
      </c>
      <c r="J12" s="54" t="s">
        <v>838</v>
      </c>
      <c r="K12" s="54" t="s">
        <v>253</v>
      </c>
      <c r="L12" s="342" t="s">
        <v>1797</v>
      </c>
      <c r="M12" s="54" t="s">
        <v>873</v>
      </c>
      <c r="N12" s="54">
        <v>1</v>
      </c>
      <c r="O12" s="54">
        <v>1</v>
      </c>
      <c r="P12" s="66">
        <v>0</v>
      </c>
      <c r="Q12" s="66" t="s">
        <v>1371</v>
      </c>
    </row>
    <row r="13" spans="1:17" ht="37.5" x14ac:dyDescent="0.25">
      <c r="A13" s="66">
        <v>10</v>
      </c>
      <c r="B13" s="429"/>
      <c r="C13" s="464" t="s">
        <v>251</v>
      </c>
      <c r="D13" s="464">
        <v>3</v>
      </c>
      <c r="E13" s="464" t="s">
        <v>254</v>
      </c>
      <c r="F13" s="464" t="s">
        <v>102</v>
      </c>
      <c r="G13" s="464" t="s">
        <v>221</v>
      </c>
      <c r="H13" s="67">
        <v>44300</v>
      </c>
      <c r="I13" s="54">
        <v>1</v>
      </c>
      <c r="J13" s="54" t="s">
        <v>852</v>
      </c>
      <c r="K13" s="54" t="s">
        <v>255</v>
      </c>
      <c r="L13" s="342" t="s">
        <v>1798</v>
      </c>
      <c r="M13" s="54" t="s">
        <v>873</v>
      </c>
      <c r="N13" s="54">
        <v>1</v>
      </c>
      <c r="O13" s="54">
        <v>1</v>
      </c>
      <c r="P13" s="54">
        <v>0</v>
      </c>
      <c r="Q13" s="66" t="s">
        <v>1371</v>
      </c>
    </row>
    <row r="14" spans="1:17" ht="37.5" x14ac:dyDescent="0.25">
      <c r="A14" s="66">
        <v>11</v>
      </c>
      <c r="B14" s="429"/>
      <c r="C14" s="464"/>
      <c r="D14" s="464"/>
      <c r="E14" s="464"/>
      <c r="F14" s="464"/>
      <c r="G14" s="464"/>
      <c r="H14" s="67">
        <v>44300</v>
      </c>
      <c r="I14" s="54">
        <v>1</v>
      </c>
      <c r="J14" s="54" t="s">
        <v>852</v>
      </c>
      <c r="K14" s="54" t="s">
        <v>256</v>
      </c>
      <c r="L14" s="342" t="s">
        <v>1799</v>
      </c>
      <c r="M14" s="54" t="s">
        <v>873</v>
      </c>
      <c r="N14" s="54">
        <v>1</v>
      </c>
      <c r="O14" s="54">
        <v>1</v>
      </c>
      <c r="P14" s="54">
        <v>0</v>
      </c>
      <c r="Q14" s="66" t="s">
        <v>1371</v>
      </c>
    </row>
    <row r="15" spans="1:17" ht="37.5" x14ac:dyDescent="0.25">
      <c r="A15" s="66">
        <v>12</v>
      </c>
      <c r="B15" s="429"/>
      <c r="C15" s="464"/>
      <c r="D15" s="464"/>
      <c r="E15" s="464"/>
      <c r="F15" s="464"/>
      <c r="G15" s="464"/>
      <c r="H15" s="67">
        <v>44300</v>
      </c>
      <c r="I15" s="54">
        <v>1</v>
      </c>
      <c r="J15" s="54" t="s">
        <v>852</v>
      </c>
      <c r="K15" s="54" t="s">
        <v>257</v>
      </c>
      <c r="L15" s="342" t="s">
        <v>1800</v>
      </c>
      <c r="M15" s="54" t="s">
        <v>873</v>
      </c>
      <c r="N15" s="54">
        <v>1</v>
      </c>
      <c r="O15" s="54">
        <v>1</v>
      </c>
      <c r="P15" s="54">
        <v>0</v>
      </c>
      <c r="Q15" s="66" t="s">
        <v>1371</v>
      </c>
    </row>
    <row r="16" spans="1:17" ht="36.75" customHeight="1" x14ac:dyDescent="0.25">
      <c r="A16" s="66">
        <v>13</v>
      </c>
      <c r="B16" s="429"/>
      <c r="C16" s="54" t="s">
        <v>258</v>
      </c>
      <c r="D16" s="54">
        <v>2</v>
      </c>
      <c r="E16" s="464"/>
      <c r="F16" s="464"/>
      <c r="G16" s="464"/>
      <c r="H16" s="67">
        <v>1676552.56</v>
      </c>
      <c r="I16" s="54">
        <v>2</v>
      </c>
      <c r="J16" s="54" t="s">
        <v>852</v>
      </c>
      <c r="K16" s="54" t="s">
        <v>259</v>
      </c>
      <c r="L16" s="342" t="s">
        <v>1801</v>
      </c>
      <c r="M16" s="54" t="s">
        <v>873</v>
      </c>
      <c r="N16" s="54">
        <v>2</v>
      </c>
      <c r="O16" s="54">
        <v>2</v>
      </c>
      <c r="P16" s="54">
        <v>0</v>
      </c>
      <c r="Q16" s="66" t="s">
        <v>1371</v>
      </c>
    </row>
    <row r="17" spans="1:17" ht="42" customHeight="1" x14ac:dyDescent="0.25">
      <c r="A17" s="66">
        <v>14</v>
      </c>
      <c r="B17" s="429"/>
      <c r="C17" s="425" t="s">
        <v>260</v>
      </c>
      <c r="D17" s="425">
        <v>5</v>
      </c>
      <c r="E17" s="66" t="s">
        <v>1251</v>
      </c>
      <c r="F17" s="66" t="s">
        <v>1252</v>
      </c>
      <c r="G17" s="66" t="s">
        <v>1253</v>
      </c>
      <c r="H17" s="67">
        <v>34500</v>
      </c>
      <c r="I17" s="54">
        <v>1</v>
      </c>
      <c r="J17" s="54" t="s">
        <v>837</v>
      </c>
      <c r="K17" s="108" t="s">
        <v>1250</v>
      </c>
      <c r="L17" s="334" t="s">
        <v>1802</v>
      </c>
      <c r="M17" s="54" t="s">
        <v>873</v>
      </c>
      <c r="N17" s="54">
        <v>1</v>
      </c>
      <c r="O17" s="54">
        <v>1</v>
      </c>
      <c r="P17" s="54">
        <v>0</v>
      </c>
      <c r="Q17" s="66" t="s">
        <v>1371</v>
      </c>
    </row>
    <row r="18" spans="1:17" ht="60" customHeight="1" x14ac:dyDescent="0.25">
      <c r="A18" s="66">
        <v>15</v>
      </c>
      <c r="B18" s="429"/>
      <c r="C18" s="426"/>
      <c r="D18" s="426"/>
      <c r="E18" s="464" t="s">
        <v>262</v>
      </c>
      <c r="F18" s="464" t="s">
        <v>263</v>
      </c>
      <c r="G18" s="464" t="s">
        <v>264</v>
      </c>
      <c r="H18" s="67">
        <v>43750</v>
      </c>
      <c r="I18" s="54">
        <v>1</v>
      </c>
      <c r="J18" s="54" t="s">
        <v>838</v>
      </c>
      <c r="K18" s="54" t="s">
        <v>265</v>
      </c>
      <c r="L18" s="342" t="s">
        <v>1803</v>
      </c>
      <c r="M18" s="54" t="s">
        <v>873</v>
      </c>
      <c r="N18" s="54">
        <v>1</v>
      </c>
      <c r="O18" s="54">
        <v>1</v>
      </c>
      <c r="P18" s="54">
        <v>0</v>
      </c>
      <c r="Q18" s="66" t="s">
        <v>1371</v>
      </c>
    </row>
    <row r="19" spans="1:17" ht="37.5" x14ac:dyDescent="0.25">
      <c r="A19" s="66">
        <v>16</v>
      </c>
      <c r="B19" s="429"/>
      <c r="C19" s="426"/>
      <c r="D19" s="426"/>
      <c r="E19" s="464"/>
      <c r="F19" s="464"/>
      <c r="G19" s="464"/>
      <c r="H19" s="67">
        <v>43750</v>
      </c>
      <c r="I19" s="54">
        <v>1</v>
      </c>
      <c r="J19" s="54" t="s">
        <v>838</v>
      </c>
      <c r="K19" s="54" t="s">
        <v>1879</v>
      </c>
      <c r="L19" s="342" t="s">
        <v>1804</v>
      </c>
      <c r="M19" s="54" t="s">
        <v>873</v>
      </c>
      <c r="N19" s="54">
        <v>1</v>
      </c>
      <c r="O19" s="54">
        <v>1</v>
      </c>
      <c r="P19" s="54">
        <v>0</v>
      </c>
      <c r="Q19" s="66" t="s">
        <v>1371</v>
      </c>
    </row>
    <row r="20" spans="1:17" ht="37.5" x14ac:dyDescent="0.25">
      <c r="A20" s="66">
        <v>17</v>
      </c>
      <c r="B20" s="429"/>
      <c r="C20" s="426"/>
      <c r="D20" s="426"/>
      <c r="E20" s="464"/>
      <c r="F20" s="464"/>
      <c r="G20" s="464"/>
      <c r="H20" s="67">
        <v>43750</v>
      </c>
      <c r="I20" s="54">
        <v>1</v>
      </c>
      <c r="J20" s="54" t="s">
        <v>838</v>
      </c>
      <c r="K20" s="54" t="s">
        <v>266</v>
      </c>
      <c r="L20" s="342" t="s">
        <v>1805</v>
      </c>
      <c r="M20" s="54" t="s">
        <v>873</v>
      </c>
      <c r="N20" s="54">
        <v>1</v>
      </c>
      <c r="O20" s="54">
        <v>1</v>
      </c>
      <c r="P20" s="54">
        <v>0</v>
      </c>
      <c r="Q20" s="66" t="s">
        <v>1371</v>
      </c>
    </row>
    <row r="21" spans="1:17" ht="56.25" x14ac:dyDescent="0.25">
      <c r="A21" s="66">
        <v>18</v>
      </c>
      <c r="B21" s="429"/>
      <c r="C21" s="427"/>
      <c r="D21" s="427"/>
      <c r="E21" s="464"/>
      <c r="F21" s="464"/>
      <c r="G21" s="464"/>
      <c r="H21" s="67">
        <v>43750</v>
      </c>
      <c r="I21" s="54">
        <v>1</v>
      </c>
      <c r="J21" s="54" t="s">
        <v>838</v>
      </c>
      <c r="K21" s="54" t="s">
        <v>267</v>
      </c>
      <c r="L21" s="342" t="s">
        <v>1806</v>
      </c>
      <c r="M21" s="54" t="s">
        <v>873</v>
      </c>
      <c r="N21" s="54">
        <v>1</v>
      </c>
      <c r="O21" s="54">
        <v>1</v>
      </c>
      <c r="P21" s="54">
        <v>0</v>
      </c>
      <c r="Q21" s="66" t="s">
        <v>1371</v>
      </c>
    </row>
    <row r="22" spans="1:17" ht="37.5" x14ac:dyDescent="0.25">
      <c r="A22" s="66">
        <v>19</v>
      </c>
      <c r="B22" s="429"/>
      <c r="C22" s="54" t="s">
        <v>261</v>
      </c>
      <c r="D22" s="54">
        <v>1</v>
      </c>
      <c r="E22" s="464"/>
      <c r="F22" s="464"/>
      <c r="G22" s="464"/>
      <c r="H22" s="67">
        <v>33800</v>
      </c>
      <c r="I22" s="54">
        <v>1</v>
      </c>
      <c r="J22" s="54" t="s">
        <v>838</v>
      </c>
      <c r="K22" s="54" t="s">
        <v>268</v>
      </c>
      <c r="L22" s="342" t="s">
        <v>1807</v>
      </c>
      <c r="M22" s="54" t="s">
        <v>873</v>
      </c>
      <c r="N22" s="54">
        <v>1</v>
      </c>
      <c r="O22" s="54">
        <v>1</v>
      </c>
      <c r="P22" s="54">
        <v>0</v>
      </c>
      <c r="Q22" s="66" t="s">
        <v>1371</v>
      </c>
    </row>
    <row r="23" spans="1:17" x14ac:dyDescent="0.25">
      <c r="A23" s="66">
        <v>20</v>
      </c>
      <c r="B23" s="429"/>
      <c r="C23" s="464" t="s">
        <v>269</v>
      </c>
      <c r="D23" s="464">
        <v>2</v>
      </c>
      <c r="E23" s="464">
        <v>2016</v>
      </c>
      <c r="F23" s="464" t="s">
        <v>102</v>
      </c>
      <c r="G23" s="464" t="s">
        <v>221</v>
      </c>
      <c r="H23" s="67">
        <v>76082.17</v>
      </c>
      <c r="I23" s="54">
        <v>1</v>
      </c>
      <c r="J23" s="54" t="s">
        <v>852</v>
      </c>
      <c r="K23" s="54" t="s">
        <v>270</v>
      </c>
      <c r="L23" s="342" t="s">
        <v>1808</v>
      </c>
      <c r="M23" s="54" t="s">
        <v>873</v>
      </c>
      <c r="N23" s="54">
        <v>1</v>
      </c>
      <c r="O23" s="54">
        <v>1</v>
      </c>
      <c r="P23" s="66">
        <v>0</v>
      </c>
      <c r="Q23" s="66" t="s">
        <v>1371</v>
      </c>
    </row>
    <row r="24" spans="1:17" x14ac:dyDescent="0.25">
      <c r="A24" s="66">
        <v>21</v>
      </c>
      <c r="B24" s="429"/>
      <c r="C24" s="464"/>
      <c r="D24" s="464"/>
      <c r="E24" s="464"/>
      <c r="F24" s="464"/>
      <c r="G24" s="464"/>
      <c r="H24" s="67">
        <v>76082.17</v>
      </c>
      <c r="I24" s="54">
        <v>1</v>
      </c>
      <c r="J24" s="54" t="s">
        <v>852</v>
      </c>
      <c r="K24" s="54" t="s">
        <v>271</v>
      </c>
      <c r="L24" s="342" t="s">
        <v>1809</v>
      </c>
      <c r="M24" s="54" t="s">
        <v>873</v>
      </c>
      <c r="N24" s="54">
        <v>1</v>
      </c>
      <c r="O24" s="54">
        <v>1</v>
      </c>
      <c r="P24" s="66">
        <v>0</v>
      </c>
      <c r="Q24" s="66" t="s">
        <v>1371</v>
      </c>
    </row>
    <row r="25" spans="1:17" x14ac:dyDescent="0.25">
      <c r="A25" s="66">
        <v>22</v>
      </c>
      <c r="B25" s="429"/>
      <c r="C25" s="464" t="s">
        <v>272</v>
      </c>
      <c r="D25" s="464">
        <v>4</v>
      </c>
      <c r="E25" s="464">
        <v>2017</v>
      </c>
      <c r="F25" s="464" t="s">
        <v>278</v>
      </c>
      <c r="G25" s="464" t="s">
        <v>221</v>
      </c>
      <c r="H25" s="466">
        <v>214167.8</v>
      </c>
      <c r="I25" s="54">
        <v>1</v>
      </c>
      <c r="J25" s="54" t="s">
        <v>852</v>
      </c>
      <c r="K25" s="54" t="s">
        <v>279</v>
      </c>
      <c r="L25" s="226" t="s">
        <v>2011</v>
      </c>
      <c r="M25" s="54" t="s">
        <v>873</v>
      </c>
      <c r="N25" s="54">
        <v>1</v>
      </c>
      <c r="O25" s="54">
        <v>1</v>
      </c>
      <c r="P25" s="66">
        <v>0</v>
      </c>
      <c r="Q25" s="66" t="s">
        <v>1371</v>
      </c>
    </row>
    <row r="26" spans="1:17" x14ac:dyDescent="0.25">
      <c r="A26" s="66">
        <v>23</v>
      </c>
      <c r="B26" s="429"/>
      <c r="C26" s="464"/>
      <c r="D26" s="464"/>
      <c r="E26" s="464"/>
      <c r="F26" s="464"/>
      <c r="G26" s="464"/>
      <c r="H26" s="466"/>
      <c r="I26" s="54">
        <v>1</v>
      </c>
      <c r="J26" s="54" t="s">
        <v>852</v>
      </c>
      <c r="K26" s="54" t="s">
        <v>280</v>
      </c>
      <c r="L26" s="226" t="s">
        <v>2012</v>
      </c>
      <c r="M26" s="54" t="s">
        <v>873</v>
      </c>
      <c r="N26" s="54">
        <v>1</v>
      </c>
      <c r="O26" s="54">
        <v>1</v>
      </c>
      <c r="P26" s="66">
        <v>0</v>
      </c>
      <c r="Q26" s="66" t="s">
        <v>1371</v>
      </c>
    </row>
    <row r="27" spans="1:17" x14ac:dyDescent="0.25">
      <c r="A27" s="66">
        <v>24</v>
      </c>
      <c r="B27" s="429"/>
      <c r="C27" s="464"/>
      <c r="D27" s="464"/>
      <c r="E27" s="464"/>
      <c r="F27" s="464"/>
      <c r="G27" s="464"/>
      <c r="H27" s="466"/>
      <c r="I27" s="54">
        <v>1</v>
      </c>
      <c r="J27" s="54" t="s">
        <v>852</v>
      </c>
      <c r="K27" s="54" t="s">
        <v>281</v>
      </c>
      <c r="L27" s="226" t="s">
        <v>2013</v>
      </c>
      <c r="M27" s="54" t="s">
        <v>873</v>
      </c>
      <c r="N27" s="54">
        <v>1</v>
      </c>
      <c r="O27" s="54">
        <v>1</v>
      </c>
      <c r="P27" s="66">
        <v>0</v>
      </c>
      <c r="Q27" s="66" t="s">
        <v>1371</v>
      </c>
    </row>
    <row r="28" spans="1:17" x14ac:dyDescent="0.25">
      <c r="A28" s="66">
        <v>25</v>
      </c>
      <c r="B28" s="429"/>
      <c r="C28" s="464"/>
      <c r="D28" s="464"/>
      <c r="E28" s="464"/>
      <c r="F28" s="464"/>
      <c r="G28" s="464"/>
      <c r="H28" s="466"/>
      <c r="I28" s="54">
        <v>1</v>
      </c>
      <c r="J28" s="54" t="s">
        <v>852</v>
      </c>
      <c r="K28" s="54" t="s">
        <v>282</v>
      </c>
      <c r="L28" s="226" t="s">
        <v>2014</v>
      </c>
      <c r="M28" s="54" t="s">
        <v>873</v>
      </c>
      <c r="N28" s="54">
        <v>1</v>
      </c>
      <c r="O28" s="54">
        <v>1</v>
      </c>
      <c r="P28" s="66">
        <v>0</v>
      </c>
      <c r="Q28" s="66" t="s">
        <v>1371</v>
      </c>
    </row>
    <row r="29" spans="1:17" x14ac:dyDescent="0.25">
      <c r="A29" s="66">
        <v>26</v>
      </c>
      <c r="B29" s="429"/>
      <c r="C29" s="464" t="s">
        <v>273</v>
      </c>
      <c r="D29" s="464">
        <v>4</v>
      </c>
      <c r="E29" s="464"/>
      <c r="F29" s="464"/>
      <c r="G29" s="464"/>
      <c r="H29" s="466">
        <v>223388</v>
      </c>
      <c r="I29" s="54">
        <v>1</v>
      </c>
      <c r="J29" s="54" t="s">
        <v>852</v>
      </c>
      <c r="K29" s="54" t="s">
        <v>283</v>
      </c>
      <c r="L29" s="226" t="s">
        <v>2015</v>
      </c>
      <c r="M29" s="54" t="s">
        <v>873</v>
      </c>
      <c r="N29" s="54">
        <v>1</v>
      </c>
      <c r="O29" s="54">
        <v>1</v>
      </c>
      <c r="P29" s="66">
        <v>0</v>
      </c>
      <c r="Q29" s="66" t="s">
        <v>1371</v>
      </c>
    </row>
    <row r="30" spans="1:17" x14ac:dyDescent="0.25">
      <c r="A30" s="66">
        <v>27</v>
      </c>
      <c r="B30" s="429"/>
      <c r="C30" s="464"/>
      <c r="D30" s="464"/>
      <c r="E30" s="464"/>
      <c r="F30" s="464"/>
      <c r="G30" s="464"/>
      <c r="H30" s="466"/>
      <c r="I30" s="54">
        <v>1</v>
      </c>
      <c r="J30" s="54" t="s">
        <v>852</v>
      </c>
      <c r="K30" s="54" t="s">
        <v>284</v>
      </c>
      <c r="L30" s="226" t="s">
        <v>2016</v>
      </c>
      <c r="M30" s="54" t="s">
        <v>873</v>
      </c>
      <c r="N30" s="54">
        <v>1</v>
      </c>
      <c r="O30" s="54">
        <v>1</v>
      </c>
      <c r="P30" s="66">
        <v>0</v>
      </c>
      <c r="Q30" s="66" t="s">
        <v>1371</v>
      </c>
    </row>
    <row r="31" spans="1:17" x14ac:dyDescent="0.25">
      <c r="A31" s="66">
        <v>28</v>
      </c>
      <c r="B31" s="429"/>
      <c r="C31" s="464"/>
      <c r="D31" s="464"/>
      <c r="E31" s="464"/>
      <c r="F31" s="464"/>
      <c r="G31" s="464"/>
      <c r="H31" s="466"/>
      <c r="I31" s="54">
        <v>1</v>
      </c>
      <c r="J31" s="54" t="s">
        <v>852</v>
      </c>
      <c r="K31" s="54" t="s">
        <v>285</v>
      </c>
      <c r="L31" s="226" t="s">
        <v>2017</v>
      </c>
      <c r="M31" s="54" t="s">
        <v>873</v>
      </c>
      <c r="N31" s="54">
        <v>1</v>
      </c>
      <c r="O31" s="54">
        <v>1</v>
      </c>
      <c r="P31" s="66">
        <v>0</v>
      </c>
      <c r="Q31" s="66" t="s">
        <v>1371</v>
      </c>
    </row>
    <row r="32" spans="1:17" x14ac:dyDescent="0.25">
      <c r="A32" s="66">
        <v>29</v>
      </c>
      <c r="B32" s="429"/>
      <c r="C32" s="464"/>
      <c r="D32" s="464"/>
      <c r="E32" s="464"/>
      <c r="F32" s="464"/>
      <c r="G32" s="464"/>
      <c r="H32" s="466"/>
      <c r="I32" s="54">
        <v>1</v>
      </c>
      <c r="J32" s="54" t="s">
        <v>852</v>
      </c>
      <c r="K32" s="54" t="s">
        <v>286</v>
      </c>
      <c r="L32" s="226" t="s">
        <v>2018</v>
      </c>
      <c r="M32" s="54" t="s">
        <v>873</v>
      </c>
      <c r="N32" s="54">
        <v>1</v>
      </c>
      <c r="O32" s="54">
        <v>1</v>
      </c>
      <c r="P32" s="66">
        <v>0</v>
      </c>
      <c r="Q32" s="66" t="s">
        <v>1371</v>
      </c>
    </row>
    <row r="33" spans="1:17" x14ac:dyDescent="0.25">
      <c r="A33" s="66">
        <v>30</v>
      </c>
      <c r="B33" s="429"/>
      <c r="C33" s="464" t="s">
        <v>274</v>
      </c>
      <c r="D33" s="464">
        <v>6</v>
      </c>
      <c r="E33" s="464"/>
      <c r="F33" s="464"/>
      <c r="G33" s="464"/>
      <c r="H33" s="466">
        <v>341028</v>
      </c>
      <c r="I33" s="54">
        <v>1</v>
      </c>
      <c r="J33" s="54" t="s">
        <v>852</v>
      </c>
      <c r="K33" s="54" t="s">
        <v>287</v>
      </c>
      <c r="L33" s="226" t="s">
        <v>2019</v>
      </c>
      <c r="M33" s="54" t="s">
        <v>873</v>
      </c>
      <c r="N33" s="54">
        <v>1</v>
      </c>
      <c r="O33" s="54">
        <v>1</v>
      </c>
      <c r="P33" s="66">
        <v>0</v>
      </c>
      <c r="Q33" s="66" t="s">
        <v>1371</v>
      </c>
    </row>
    <row r="34" spans="1:17" x14ac:dyDescent="0.25">
      <c r="A34" s="66">
        <v>31</v>
      </c>
      <c r="B34" s="429"/>
      <c r="C34" s="464"/>
      <c r="D34" s="464"/>
      <c r="E34" s="464"/>
      <c r="F34" s="464"/>
      <c r="G34" s="464"/>
      <c r="H34" s="466"/>
      <c r="I34" s="54">
        <v>1</v>
      </c>
      <c r="J34" s="54" t="s">
        <v>852</v>
      </c>
      <c r="K34" s="54" t="s">
        <v>288</v>
      </c>
      <c r="L34" s="226" t="s">
        <v>2020</v>
      </c>
      <c r="M34" s="54" t="s">
        <v>873</v>
      </c>
      <c r="N34" s="54">
        <v>1</v>
      </c>
      <c r="O34" s="54">
        <v>1</v>
      </c>
      <c r="P34" s="66">
        <v>0</v>
      </c>
      <c r="Q34" s="66" t="s">
        <v>1371</v>
      </c>
    </row>
    <row r="35" spans="1:17" x14ac:dyDescent="0.25">
      <c r="A35" s="66">
        <v>32</v>
      </c>
      <c r="B35" s="429"/>
      <c r="C35" s="464"/>
      <c r="D35" s="464"/>
      <c r="E35" s="464"/>
      <c r="F35" s="464"/>
      <c r="G35" s="464"/>
      <c r="H35" s="466"/>
      <c r="I35" s="54">
        <v>1</v>
      </c>
      <c r="J35" s="54" t="s">
        <v>852</v>
      </c>
      <c r="K35" s="54" t="s">
        <v>289</v>
      </c>
      <c r="L35" s="226" t="s">
        <v>2021</v>
      </c>
      <c r="M35" s="54" t="s">
        <v>873</v>
      </c>
      <c r="N35" s="54">
        <v>1</v>
      </c>
      <c r="O35" s="54">
        <v>1</v>
      </c>
      <c r="P35" s="66">
        <v>0</v>
      </c>
      <c r="Q35" s="66" t="s">
        <v>1371</v>
      </c>
    </row>
    <row r="36" spans="1:17" x14ac:dyDescent="0.25">
      <c r="A36" s="66">
        <v>33</v>
      </c>
      <c r="B36" s="429"/>
      <c r="C36" s="464"/>
      <c r="D36" s="464"/>
      <c r="E36" s="464"/>
      <c r="F36" s="464"/>
      <c r="G36" s="464"/>
      <c r="H36" s="466"/>
      <c r="I36" s="54">
        <v>1</v>
      </c>
      <c r="J36" s="54" t="s">
        <v>852</v>
      </c>
      <c r="K36" s="54" t="s">
        <v>290</v>
      </c>
      <c r="L36" s="226" t="s">
        <v>2022</v>
      </c>
      <c r="M36" s="54" t="s">
        <v>873</v>
      </c>
      <c r="N36" s="54">
        <v>1</v>
      </c>
      <c r="O36" s="54">
        <v>1</v>
      </c>
      <c r="P36" s="66">
        <v>0</v>
      </c>
      <c r="Q36" s="66" t="s">
        <v>1371</v>
      </c>
    </row>
    <row r="37" spans="1:17" x14ac:dyDescent="0.25">
      <c r="A37" s="66">
        <v>34</v>
      </c>
      <c r="B37" s="429"/>
      <c r="C37" s="464"/>
      <c r="D37" s="464"/>
      <c r="E37" s="464"/>
      <c r="F37" s="464"/>
      <c r="G37" s="464"/>
      <c r="H37" s="466"/>
      <c r="I37" s="54">
        <v>1</v>
      </c>
      <c r="J37" s="54" t="s">
        <v>852</v>
      </c>
      <c r="K37" s="54" t="s">
        <v>291</v>
      </c>
      <c r="L37" s="226" t="s">
        <v>2023</v>
      </c>
      <c r="M37" s="54" t="s">
        <v>873</v>
      </c>
      <c r="N37" s="54">
        <v>1</v>
      </c>
      <c r="O37" s="54">
        <v>1</v>
      </c>
      <c r="P37" s="66">
        <v>0</v>
      </c>
      <c r="Q37" s="66" t="s">
        <v>1371</v>
      </c>
    </row>
    <row r="38" spans="1:17" x14ac:dyDescent="0.25">
      <c r="A38" s="66">
        <v>35</v>
      </c>
      <c r="B38" s="429"/>
      <c r="C38" s="464"/>
      <c r="D38" s="464"/>
      <c r="E38" s="464"/>
      <c r="F38" s="464"/>
      <c r="G38" s="464"/>
      <c r="H38" s="466"/>
      <c r="I38" s="54">
        <v>1</v>
      </c>
      <c r="J38" s="54" t="s">
        <v>852</v>
      </c>
      <c r="K38" s="54" t="s">
        <v>292</v>
      </c>
      <c r="L38" s="226" t="s">
        <v>2024</v>
      </c>
      <c r="M38" s="54" t="s">
        <v>873</v>
      </c>
      <c r="N38" s="54">
        <v>1</v>
      </c>
      <c r="O38" s="54">
        <v>1</v>
      </c>
      <c r="P38" s="66">
        <v>0</v>
      </c>
      <c r="Q38" s="66" t="s">
        <v>1371</v>
      </c>
    </row>
    <row r="39" spans="1:17" x14ac:dyDescent="0.25">
      <c r="A39" s="66">
        <v>36</v>
      </c>
      <c r="B39" s="429"/>
      <c r="C39" s="464" t="s">
        <v>275</v>
      </c>
      <c r="D39" s="464">
        <v>2</v>
      </c>
      <c r="E39" s="464"/>
      <c r="F39" s="464"/>
      <c r="G39" s="464"/>
      <c r="H39" s="466">
        <v>129866</v>
      </c>
      <c r="I39" s="54">
        <v>1</v>
      </c>
      <c r="J39" s="54" t="s">
        <v>852</v>
      </c>
      <c r="K39" s="54" t="s">
        <v>293</v>
      </c>
      <c r="L39" s="226" t="s">
        <v>2025</v>
      </c>
      <c r="M39" s="54" t="s">
        <v>873</v>
      </c>
      <c r="N39" s="54">
        <v>1</v>
      </c>
      <c r="O39" s="54">
        <v>1</v>
      </c>
      <c r="P39" s="66">
        <v>0</v>
      </c>
      <c r="Q39" s="66" t="s">
        <v>1371</v>
      </c>
    </row>
    <row r="40" spans="1:17" x14ac:dyDescent="0.25">
      <c r="A40" s="66">
        <v>37</v>
      </c>
      <c r="B40" s="429"/>
      <c r="C40" s="464"/>
      <c r="D40" s="464"/>
      <c r="E40" s="464"/>
      <c r="F40" s="464"/>
      <c r="G40" s="464"/>
      <c r="H40" s="466"/>
      <c r="I40" s="54">
        <v>1</v>
      </c>
      <c r="J40" s="54" t="s">
        <v>852</v>
      </c>
      <c r="K40" s="54" t="s">
        <v>294</v>
      </c>
      <c r="L40" s="226" t="s">
        <v>2026</v>
      </c>
      <c r="M40" s="54" t="s">
        <v>873</v>
      </c>
      <c r="N40" s="54">
        <v>1</v>
      </c>
      <c r="O40" s="54">
        <v>1</v>
      </c>
      <c r="P40" s="66">
        <v>0</v>
      </c>
      <c r="Q40" s="66" t="s">
        <v>1371</v>
      </c>
    </row>
    <row r="41" spans="1:17" x14ac:dyDescent="0.25">
      <c r="A41" s="66">
        <v>38</v>
      </c>
      <c r="B41" s="429"/>
      <c r="C41" s="464" t="s">
        <v>276</v>
      </c>
      <c r="D41" s="464">
        <v>2</v>
      </c>
      <c r="E41" s="464"/>
      <c r="F41" s="464"/>
      <c r="G41" s="464"/>
      <c r="H41" s="466">
        <v>114558</v>
      </c>
      <c r="I41" s="54">
        <v>1</v>
      </c>
      <c r="J41" s="54" t="s">
        <v>852</v>
      </c>
      <c r="K41" s="54" t="s">
        <v>2345</v>
      </c>
      <c r="L41" s="226" t="s">
        <v>2027</v>
      </c>
      <c r="M41" s="54" t="s">
        <v>873</v>
      </c>
      <c r="N41" s="54">
        <v>1</v>
      </c>
      <c r="O41" s="54">
        <v>1</v>
      </c>
      <c r="P41" s="66">
        <v>0</v>
      </c>
      <c r="Q41" s="66" t="s">
        <v>1371</v>
      </c>
    </row>
    <row r="42" spans="1:17" x14ac:dyDescent="0.25">
      <c r="A42" s="66">
        <v>39</v>
      </c>
      <c r="B42" s="429"/>
      <c r="C42" s="464"/>
      <c r="D42" s="464"/>
      <c r="E42" s="464"/>
      <c r="F42" s="464"/>
      <c r="G42" s="464"/>
      <c r="H42" s="466"/>
      <c r="I42" s="54">
        <v>1</v>
      </c>
      <c r="J42" s="54" t="s">
        <v>852</v>
      </c>
      <c r="K42" s="54" t="s">
        <v>2346</v>
      </c>
      <c r="L42" s="226" t="s">
        <v>2028</v>
      </c>
      <c r="M42" s="54" t="s">
        <v>873</v>
      </c>
      <c r="N42" s="54">
        <v>1</v>
      </c>
      <c r="O42" s="54">
        <v>1</v>
      </c>
      <c r="P42" s="66">
        <v>0</v>
      </c>
      <c r="Q42" s="66" t="s">
        <v>1371</v>
      </c>
    </row>
    <row r="43" spans="1:17" x14ac:dyDescent="0.25">
      <c r="A43" s="66">
        <v>40</v>
      </c>
      <c r="B43" s="429"/>
      <c r="C43" s="464" t="s">
        <v>277</v>
      </c>
      <c r="D43" s="464">
        <v>3</v>
      </c>
      <c r="E43" s="464"/>
      <c r="F43" s="464"/>
      <c r="G43" s="464"/>
      <c r="H43" s="466">
        <v>300600</v>
      </c>
      <c r="I43" s="54">
        <v>1</v>
      </c>
      <c r="J43" s="54" t="s">
        <v>852</v>
      </c>
      <c r="K43" s="109" t="s">
        <v>295</v>
      </c>
      <c r="L43" s="226" t="s">
        <v>2029</v>
      </c>
      <c r="M43" s="54" t="s">
        <v>873</v>
      </c>
      <c r="N43" s="54">
        <v>1</v>
      </c>
      <c r="O43" s="54">
        <v>1</v>
      </c>
      <c r="P43" s="66">
        <v>0</v>
      </c>
      <c r="Q43" s="66" t="s">
        <v>1371</v>
      </c>
    </row>
    <row r="44" spans="1:17" x14ac:dyDescent="0.25">
      <c r="A44" s="66">
        <v>41</v>
      </c>
      <c r="B44" s="429"/>
      <c r="C44" s="464"/>
      <c r="D44" s="464"/>
      <c r="E44" s="464"/>
      <c r="F44" s="464"/>
      <c r="G44" s="464"/>
      <c r="H44" s="466"/>
      <c r="I44" s="54">
        <v>1</v>
      </c>
      <c r="J44" s="54" t="s">
        <v>852</v>
      </c>
      <c r="K44" s="109">
        <v>160069</v>
      </c>
      <c r="L44" s="226" t="s">
        <v>2030</v>
      </c>
      <c r="M44" s="54" t="s">
        <v>873</v>
      </c>
      <c r="N44" s="54">
        <v>1</v>
      </c>
      <c r="O44" s="54">
        <v>1</v>
      </c>
      <c r="P44" s="66">
        <v>0</v>
      </c>
      <c r="Q44" s="66" t="s">
        <v>1371</v>
      </c>
    </row>
    <row r="45" spans="1:17" x14ac:dyDescent="0.25">
      <c r="A45" s="66">
        <v>42</v>
      </c>
      <c r="B45" s="429"/>
      <c r="C45" s="464"/>
      <c r="D45" s="464"/>
      <c r="E45" s="464"/>
      <c r="F45" s="464"/>
      <c r="G45" s="464"/>
      <c r="H45" s="466"/>
      <c r="I45" s="54">
        <v>1</v>
      </c>
      <c r="J45" s="54" t="s">
        <v>852</v>
      </c>
      <c r="K45" s="109">
        <v>160077</v>
      </c>
      <c r="L45" s="226" t="s">
        <v>2031</v>
      </c>
      <c r="M45" s="54" t="s">
        <v>873</v>
      </c>
      <c r="N45" s="54">
        <v>1</v>
      </c>
      <c r="O45" s="54">
        <v>1</v>
      </c>
      <c r="P45" s="66">
        <v>0</v>
      </c>
      <c r="Q45" s="66" t="s">
        <v>1371</v>
      </c>
    </row>
    <row r="46" spans="1:17" ht="37.5" x14ac:dyDescent="0.25">
      <c r="A46" s="66">
        <v>43</v>
      </c>
      <c r="B46" s="429"/>
      <c r="C46" s="544" t="s">
        <v>297</v>
      </c>
      <c r="D46" s="464">
        <v>5</v>
      </c>
      <c r="E46" s="464" t="s">
        <v>298</v>
      </c>
      <c r="F46" s="464" t="s">
        <v>299</v>
      </c>
      <c r="G46" s="464" t="s">
        <v>221</v>
      </c>
      <c r="H46" s="62">
        <v>31904</v>
      </c>
      <c r="I46" s="54">
        <v>1</v>
      </c>
      <c r="J46" s="54" t="s">
        <v>838</v>
      </c>
      <c r="K46" s="104" t="s">
        <v>300</v>
      </c>
      <c r="L46" s="342" t="s">
        <v>1913</v>
      </c>
      <c r="M46" s="54" t="s">
        <v>873</v>
      </c>
      <c r="N46" s="54">
        <v>1</v>
      </c>
      <c r="O46" s="54">
        <v>1</v>
      </c>
      <c r="P46" s="66">
        <v>0</v>
      </c>
      <c r="Q46" s="66" t="s">
        <v>1371</v>
      </c>
    </row>
    <row r="47" spans="1:17" ht="37.5" x14ac:dyDescent="0.25">
      <c r="A47" s="66">
        <v>44</v>
      </c>
      <c r="B47" s="429"/>
      <c r="C47" s="544"/>
      <c r="D47" s="464"/>
      <c r="E47" s="464"/>
      <c r="F47" s="464"/>
      <c r="G47" s="464"/>
      <c r="H47" s="62">
        <v>31904</v>
      </c>
      <c r="I47" s="54">
        <v>1</v>
      </c>
      <c r="J47" s="54" t="s">
        <v>838</v>
      </c>
      <c r="K47" s="104" t="s">
        <v>301</v>
      </c>
      <c r="L47" s="342" t="s">
        <v>1967</v>
      </c>
      <c r="M47" s="54" t="s">
        <v>873</v>
      </c>
      <c r="N47" s="54">
        <v>1</v>
      </c>
      <c r="O47" s="54">
        <v>1</v>
      </c>
      <c r="P47" s="66">
        <v>0</v>
      </c>
      <c r="Q47" s="66" t="s">
        <v>1371</v>
      </c>
    </row>
    <row r="48" spans="1:17" ht="37.5" x14ac:dyDescent="0.25">
      <c r="A48" s="66">
        <v>45</v>
      </c>
      <c r="B48" s="429"/>
      <c r="C48" s="544"/>
      <c r="D48" s="464"/>
      <c r="E48" s="464"/>
      <c r="F48" s="464"/>
      <c r="G48" s="464"/>
      <c r="H48" s="62">
        <v>31904</v>
      </c>
      <c r="I48" s="54">
        <v>1</v>
      </c>
      <c r="J48" s="54" t="s">
        <v>838</v>
      </c>
      <c r="K48" s="104" t="s">
        <v>302</v>
      </c>
      <c r="L48" s="342" t="s">
        <v>1968</v>
      </c>
      <c r="M48" s="54" t="s">
        <v>873</v>
      </c>
      <c r="N48" s="54">
        <v>1</v>
      </c>
      <c r="O48" s="54">
        <v>1</v>
      </c>
      <c r="P48" s="66">
        <v>0</v>
      </c>
      <c r="Q48" s="66" t="s">
        <v>1371</v>
      </c>
    </row>
    <row r="49" spans="1:17" ht="37.5" x14ac:dyDescent="0.25">
      <c r="A49" s="66">
        <v>46</v>
      </c>
      <c r="B49" s="429"/>
      <c r="C49" s="544"/>
      <c r="D49" s="464"/>
      <c r="E49" s="464"/>
      <c r="F49" s="464"/>
      <c r="G49" s="464"/>
      <c r="H49" s="62">
        <v>31904</v>
      </c>
      <c r="I49" s="54">
        <v>1</v>
      </c>
      <c r="J49" s="54" t="s">
        <v>838</v>
      </c>
      <c r="K49" s="104" t="s">
        <v>303</v>
      </c>
      <c r="L49" s="342" t="s">
        <v>1969</v>
      </c>
      <c r="M49" s="203" t="s">
        <v>873</v>
      </c>
      <c r="N49" s="54">
        <v>1</v>
      </c>
      <c r="O49" s="54">
        <v>1</v>
      </c>
      <c r="P49" s="66">
        <v>0</v>
      </c>
      <c r="Q49" s="66" t="s">
        <v>1371</v>
      </c>
    </row>
    <row r="50" spans="1:17" ht="37.5" x14ac:dyDescent="0.25">
      <c r="A50" s="66">
        <v>47</v>
      </c>
      <c r="B50" s="429"/>
      <c r="C50" s="544"/>
      <c r="D50" s="464"/>
      <c r="E50" s="464"/>
      <c r="F50" s="464"/>
      <c r="G50" s="464"/>
      <c r="H50" s="62">
        <v>31904</v>
      </c>
      <c r="I50" s="54">
        <v>1</v>
      </c>
      <c r="J50" s="54" t="s">
        <v>838</v>
      </c>
      <c r="K50" s="104" t="s">
        <v>304</v>
      </c>
      <c r="L50" s="342" t="s">
        <v>1914</v>
      </c>
      <c r="M50" s="54" t="s">
        <v>873</v>
      </c>
      <c r="N50" s="54">
        <v>1</v>
      </c>
      <c r="O50" s="54">
        <v>1</v>
      </c>
      <c r="P50" s="66">
        <v>0</v>
      </c>
      <c r="Q50" s="66" t="s">
        <v>1371</v>
      </c>
    </row>
    <row r="51" spans="1:17" ht="56.25" x14ac:dyDescent="0.25">
      <c r="A51" s="66">
        <v>48</v>
      </c>
      <c r="B51" s="429"/>
      <c r="C51" s="54" t="s">
        <v>305</v>
      </c>
      <c r="D51" s="54">
        <v>1</v>
      </c>
      <c r="E51" s="54" t="s">
        <v>306</v>
      </c>
      <c r="F51" s="54" t="s">
        <v>307</v>
      </c>
      <c r="G51" s="54" t="s">
        <v>308</v>
      </c>
      <c r="H51" s="67">
        <v>954719</v>
      </c>
      <c r="I51" s="54">
        <v>1</v>
      </c>
      <c r="J51" s="54" t="s">
        <v>838</v>
      </c>
      <c r="K51" s="54" t="s">
        <v>1248</v>
      </c>
      <c r="L51" s="342" t="s">
        <v>1970</v>
      </c>
      <c r="M51" s="54" t="s">
        <v>873</v>
      </c>
      <c r="N51" s="54">
        <v>1</v>
      </c>
      <c r="O51" s="54">
        <v>1</v>
      </c>
      <c r="P51" s="66">
        <v>0</v>
      </c>
      <c r="Q51" s="66" t="s">
        <v>1371</v>
      </c>
    </row>
    <row r="52" spans="1:17" ht="37.5" x14ac:dyDescent="0.25">
      <c r="A52" s="66">
        <v>49</v>
      </c>
      <c r="B52" s="429"/>
      <c r="C52" s="545" t="s">
        <v>309</v>
      </c>
      <c r="D52" s="464">
        <v>3</v>
      </c>
      <c r="E52" s="464" t="s">
        <v>311</v>
      </c>
      <c r="F52" s="464" t="s">
        <v>312</v>
      </c>
      <c r="G52" s="464" t="s">
        <v>313</v>
      </c>
      <c r="H52" s="62">
        <v>36460</v>
      </c>
      <c r="I52" s="54">
        <v>1</v>
      </c>
      <c r="J52" s="54" t="s">
        <v>837</v>
      </c>
      <c r="K52" s="241" t="s">
        <v>1993</v>
      </c>
      <c r="L52" s="342" t="s">
        <v>1994</v>
      </c>
      <c r="M52" s="54" t="s">
        <v>873</v>
      </c>
      <c r="N52" s="54">
        <v>1</v>
      </c>
      <c r="O52" s="54">
        <v>1</v>
      </c>
      <c r="P52" s="66">
        <v>0</v>
      </c>
      <c r="Q52" s="66" t="s">
        <v>1371</v>
      </c>
    </row>
    <row r="53" spans="1:17" x14ac:dyDescent="0.25">
      <c r="A53" s="66">
        <v>50</v>
      </c>
      <c r="B53" s="429"/>
      <c r="C53" s="545"/>
      <c r="D53" s="464"/>
      <c r="E53" s="464"/>
      <c r="F53" s="464"/>
      <c r="G53" s="464"/>
      <c r="H53" s="62">
        <v>36460</v>
      </c>
      <c r="I53" s="54">
        <v>1</v>
      </c>
      <c r="J53" s="54" t="s">
        <v>838</v>
      </c>
      <c r="K53" s="241" t="s">
        <v>1995</v>
      </c>
      <c r="L53" s="342" t="s">
        <v>1996</v>
      </c>
      <c r="M53" s="54" t="s">
        <v>873</v>
      </c>
      <c r="N53" s="54">
        <v>1</v>
      </c>
      <c r="O53" s="54">
        <v>1</v>
      </c>
      <c r="P53" s="66">
        <v>0</v>
      </c>
      <c r="Q53" s="66" t="s">
        <v>1371</v>
      </c>
    </row>
    <row r="54" spans="1:17" x14ac:dyDescent="0.2">
      <c r="A54" s="66">
        <v>51</v>
      </c>
      <c r="B54" s="429"/>
      <c r="C54" s="545"/>
      <c r="D54" s="464"/>
      <c r="E54" s="464"/>
      <c r="F54" s="464"/>
      <c r="G54" s="464"/>
      <c r="H54" s="62">
        <v>36460</v>
      </c>
      <c r="I54" s="54">
        <v>1</v>
      </c>
      <c r="J54" s="54" t="s">
        <v>838</v>
      </c>
      <c r="K54" s="232" t="s">
        <v>1997</v>
      </c>
      <c r="L54" s="342" t="s">
        <v>1998</v>
      </c>
      <c r="M54" s="54" t="s">
        <v>873</v>
      </c>
      <c r="N54" s="54">
        <v>1</v>
      </c>
      <c r="O54" s="54">
        <v>1</v>
      </c>
      <c r="P54" s="66">
        <v>0</v>
      </c>
      <c r="Q54" s="66" t="s">
        <v>1371</v>
      </c>
    </row>
    <row r="55" spans="1:17" ht="56.25" x14ac:dyDescent="0.25">
      <c r="A55" s="66">
        <v>52</v>
      </c>
      <c r="B55" s="429"/>
      <c r="C55" s="110" t="s">
        <v>310</v>
      </c>
      <c r="D55" s="54">
        <v>1</v>
      </c>
      <c r="E55" s="54" t="s">
        <v>314</v>
      </c>
      <c r="F55" s="54" t="s">
        <v>315</v>
      </c>
      <c r="G55" s="54" t="s">
        <v>316</v>
      </c>
      <c r="H55" s="62">
        <v>47999</v>
      </c>
      <c r="I55" s="54">
        <v>1</v>
      </c>
      <c r="J55" s="54" t="s">
        <v>838</v>
      </c>
      <c r="K55" s="104" t="s">
        <v>317</v>
      </c>
      <c r="L55" s="342" t="s">
        <v>1810</v>
      </c>
      <c r="M55" s="54" t="s">
        <v>873</v>
      </c>
      <c r="N55" s="54">
        <v>1</v>
      </c>
      <c r="O55" s="54">
        <v>1</v>
      </c>
      <c r="P55" s="66">
        <v>0</v>
      </c>
      <c r="Q55" s="66" t="s">
        <v>1371</v>
      </c>
    </row>
    <row r="56" spans="1:17" s="221" customFormat="1" x14ac:dyDescent="0.25">
      <c r="A56" s="216">
        <v>53</v>
      </c>
      <c r="B56" s="430"/>
      <c r="C56" s="217" t="s">
        <v>1008</v>
      </c>
      <c r="D56" s="218">
        <v>1</v>
      </c>
      <c r="E56" s="218" t="s">
        <v>1916</v>
      </c>
      <c r="F56" s="218" t="s">
        <v>1112</v>
      </c>
      <c r="G56" s="218"/>
      <c r="H56" s="219">
        <v>36500</v>
      </c>
      <c r="I56" s="218">
        <v>1</v>
      </c>
      <c r="J56" s="218" t="s">
        <v>876</v>
      </c>
      <c r="K56" s="220" t="s">
        <v>1009</v>
      </c>
      <c r="L56" s="372" t="s">
        <v>2032</v>
      </c>
      <c r="M56" s="218" t="s">
        <v>873</v>
      </c>
      <c r="N56" s="218">
        <v>1</v>
      </c>
      <c r="O56" s="218">
        <v>1</v>
      </c>
      <c r="P56" s="218">
        <v>0</v>
      </c>
      <c r="Q56" s="216" t="s">
        <v>1120</v>
      </c>
    </row>
    <row r="57" spans="1:17" x14ac:dyDescent="0.25">
      <c r="A57" s="66">
        <v>54</v>
      </c>
      <c r="B57" s="111"/>
      <c r="C57" s="89" t="s">
        <v>320</v>
      </c>
      <c r="D57" s="66">
        <v>1</v>
      </c>
      <c r="E57" s="120">
        <v>2010</v>
      </c>
      <c r="F57" s="122" t="s">
        <v>221</v>
      </c>
      <c r="G57" s="122" t="s">
        <v>221</v>
      </c>
      <c r="H57" s="114">
        <v>35150</v>
      </c>
      <c r="I57" s="54">
        <v>1</v>
      </c>
      <c r="J57" s="54" t="s">
        <v>838</v>
      </c>
      <c r="K57" s="89" t="s">
        <v>322</v>
      </c>
      <c r="L57" s="331"/>
      <c r="M57" s="54" t="s">
        <v>873</v>
      </c>
      <c r="N57" s="54">
        <v>1</v>
      </c>
      <c r="O57" s="54">
        <v>1</v>
      </c>
      <c r="P57" s="66">
        <v>0</v>
      </c>
      <c r="Q57" s="66" t="s">
        <v>1371</v>
      </c>
    </row>
    <row r="58" spans="1:17" x14ac:dyDescent="0.25">
      <c r="A58" s="66">
        <v>55</v>
      </c>
      <c r="B58" s="543" t="s">
        <v>352</v>
      </c>
      <c r="C58" s="89" t="s">
        <v>323</v>
      </c>
      <c r="D58" s="496">
        <v>2</v>
      </c>
      <c r="E58" s="495" t="s">
        <v>324</v>
      </c>
      <c r="F58" s="496" t="s">
        <v>325</v>
      </c>
      <c r="G58" s="496" t="s">
        <v>326</v>
      </c>
      <c r="H58" s="541">
        <v>336960</v>
      </c>
      <c r="I58" s="89">
        <v>1</v>
      </c>
      <c r="J58" s="54" t="s">
        <v>838</v>
      </c>
      <c r="K58" s="89" t="s">
        <v>327</v>
      </c>
      <c r="L58" s="342" t="s">
        <v>1917</v>
      </c>
      <c r="M58" s="54" t="s">
        <v>873</v>
      </c>
      <c r="N58" s="89">
        <v>1</v>
      </c>
      <c r="O58" s="89">
        <v>1</v>
      </c>
      <c r="P58" s="66">
        <v>0</v>
      </c>
      <c r="Q58" s="66" t="s">
        <v>1371</v>
      </c>
    </row>
    <row r="59" spans="1:17" x14ac:dyDescent="0.25">
      <c r="A59" s="66">
        <v>56</v>
      </c>
      <c r="B59" s="543"/>
      <c r="C59" s="89" t="s">
        <v>323</v>
      </c>
      <c r="D59" s="496"/>
      <c r="E59" s="495"/>
      <c r="F59" s="496"/>
      <c r="G59" s="496"/>
      <c r="H59" s="541"/>
      <c r="I59" s="89">
        <v>1</v>
      </c>
      <c r="J59" s="89" t="s">
        <v>838</v>
      </c>
      <c r="K59" s="89" t="s">
        <v>328</v>
      </c>
      <c r="L59" s="352" t="s">
        <v>1918</v>
      </c>
      <c r="M59" s="54" t="s">
        <v>873</v>
      </c>
      <c r="N59" s="89">
        <v>1</v>
      </c>
      <c r="O59" s="89">
        <v>1</v>
      </c>
      <c r="P59" s="66">
        <v>0</v>
      </c>
      <c r="Q59" s="66" t="s">
        <v>1371</v>
      </c>
    </row>
    <row r="60" spans="1:17" ht="30" customHeight="1" x14ac:dyDescent="0.25">
      <c r="A60" s="66">
        <v>57</v>
      </c>
      <c r="B60" s="542" t="s">
        <v>351</v>
      </c>
      <c r="C60" s="54" t="s">
        <v>329</v>
      </c>
      <c r="D60" s="464">
        <v>2</v>
      </c>
      <c r="E60" s="464" t="s">
        <v>330</v>
      </c>
      <c r="F60" s="496" t="s">
        <v>331</v>
      </c>
      <c r="G60" s="496" t="s">
        <v>332</v>
      </c>
      <c r="H60" s="126">
        <v>198596</v>
      </c>
      <c r="I60" s="89">
        <v>1</v>
      </c>
      <c r="J60" s="89" t="s">
        <v>837</v>
      </c>
      <c r="K60" s="89" t="s">
        <v>333</v>
      </c>
      <c r="L60" s="342" t="s">
        <v>1919</v>
      </c>
      <c r="M60" s="54" t="s">
        <v>873</v>
      </c>
      <c r="N60" s="89">
        <v>1</v>
      </c>
      <c r="O60" s="89">
        <v>1</v>
      </c>
      <c r="P60" s="66">
        <v>0</v>
      </c>
      <c r="Q60" s="66" t="s">
        <v>1371</v>
      </c>
    </row>
    <row r="61" spans="1:17" ht="30" customHeight="1" x14ac:dyDescent="0.25">
      <c r="A61" s="66">
        <v>58</v>
      </c>
      <c r="B61" s="542"/>
      <c r="C61" s="54" t="s">
        <v>329</v>
      </c>
      <c r="D61" s="464"/>
      <c r="E61" s="464"/>
      <c r="F61" s="496"/>
      <c r="G61" s="496"/>
      <c r="H61" s="126">
        <v>198596</v>
      </c>
      <c r="I61" s="89">
        <v>1</v>
      </c>
      <c r="J61" s="89" t="s">
        <v>837</v>
      </c>
      <c r="K61" s="89" t="s">
        <v>334</v>
      </c>
      <c r="L61" s="333" t="s">
        <v>1971</v>
      </c>
      <c r="M61" s="54" t="s">
        <v>873</v>
      </c>
      <c r="N61" s="89">
        <v>1</v>
      </c>
      <c r="O61" s="89">
        <v>1</v>
      </c>
      <c r="P61" s="66">
        <v>0</v>
      </c>
      <c r="Q61" s="66" t="s">
        <v>1371</v>
      </c>
    </row>
    <row r="62" spans="1:17" ht="37.5" x14ac:dyDescent="0.25">
      <c r="A62" s="66">
        <v>59</v>
      </c>
      <c r="B62" s="542" t="s">
        <v>349</v>
      </c>
      <c r="C62" s="54" t="s">
        <v>335</v>
      </c>
      <c r="D62" s="54">
        <v>1</v>
      </c>
      <c r="E62" s="54" t="s">
        <v>1923</v>
      </c>
      <c r="F62" s="66" t="s">
        <v>340</v>
      </c>
      <c r="G62" s="66" t="s">
        <v>221</v>
      </c>
      <c r="H62" s="114">
        <v>54387</v>
      </c>
      <c r="I62" s="89">
        <v>1</v>
      </c>
      <c r="J62" s="89" t="s">
        <v>838</v>
      </c>
      <c r="K62" s="255" t="s">
        <v>1922</v>
      </c>
      <c r="L62" s="334" t="s">
        <v>1920</v>
      </c>
      <c r="M62" s="237" t="s">
        <v>873</v>
      </c>
      <c r="N62" s="89">
        <v>1</v>
      </c>
      <c r="O62" s="89">
        <v>1</v>
      </c>
      <c r="P62" s="66">
        <v>0</v>
      </c>
      <c r="Q62" s="66" t="s">
        <v>1921</v>
      </c>
    </row>
    <row r="63" spans="1:17" ht="37.5" x14ac:dyDescent="0.25">
      <c r="A63" s="66">
        <v>60</v>
      </c>
      <c r="B63" s="542"/>
      <c r="C63" s="112" t="s">
        <v>337</v>
      </c>
      <c r="D63" s="54">
        <v>1</v>
      </c>
      <c r="E63" s="54" t="s">
        <v>336</v>
      </c>
      <c r="F63" s="66" t="s">
        <v>1930</v>
      </c>
      <c r="G63" s="66" t="s">
        <v>1929</v>
      </c>
      <c r="H63" s="204">
        <v>93627</v>
      </c>
      <c r="I63" s="89">
        <v>1</v>
      </c>
      <c r="J63" s="89" t="s">
        <v>838</v>
      </c>
      <c r="K63" s="255" t="s">
        <v>338</v>
      </c>
      <c r="L63" s="334" t="s">
        <v>1928</v>
      </c>
      <c r="M63" s="237" t="s">
        <v>873</v>
      </c>
      <c r="N63" s="89">
        <v>1</v>
      </c>
      <c r="O63" s="89">
        <v>1</v>
      </c>
      <c r="P63" s="66">
        <v>0</v>
      </c>
      <c r="Q63" s="66" t="s">
        <v>1371</v>
      </c>
    </row>
    <row r="64" spans="1:17" x14ac:dyDescent="0.25">
      <c r="A64" s="66">
        <v>61</v>
      </c>
      <c r="B64" s="542"/>
      <c r="C64" s="113" t="s">
        <v>337</v>
      </c>
      <c r="D64" s="496">
        <v>8</v>
      </c>
      <c r="E64" s="495" t="s">
        <v>339</v>
      </c>
      <c r="F64" s="496" t="s">
        <v>340</v>
      </c>
      <c r="G64" s="496" t="s">
        <v>221</v>
      </c>
      <c r="H64" s="538">
        <v>571627</v>
      </c>
      <c r="I64" s="89">
        <v>1</v>
      </c>
      <c r="J64" s="89" t="s">
        <v>838</v>
      </c>
      <c r="K64" s="89" t="s">
        <v>341</v>
      </c>
      <c r="L64" s="353" t="s">
        <v>1924</v>
      </c>
      <c r="M64" s="54" t="s">
        <v>873</v>
      </c>
      <c r="N64" s="89">
        <v>1</v>
      </c>
      <c r="O64" s="89">
        <v>1</v>
      </c>
      <c r="P64" s="66">
        <v>0</v>
      </c>
      <c r="Q64" s="66" t="s">
        <v>1371</v>
      </c>
    </row>
    <row r="65" spans="1:17" x14ac:dyDescent="0.25">
      <c r="A65" s="66">
        <v>62</v>
      </c>
      <c r="B65" s="542"/>
      <c r="C65" s="113" t="s">
        <v>337</v>
      </c>
      <c r="D65" s="496"/>
      <c r="E65" s="495"/>
      <c r="F65" s="496"/>
      <c r="G65" s="496"/>
      <c r="H65" s="539"/>
      <c r="I65" s="89">
        <v>1</v>
      </c>
      <c r="J65" s="89" t="s">
        <v>838</v>
      </c>
      <c r="K65" s="89" t="s">
        <v>342</v>
      </c>
      <c r="L65" s="352" t="s">
        <v>1925</v>
      </c>
      <c r="M65" s="54" t="s">
        <v>873</v>
      </c>
      <c r="N65" s="89">
        <v>1</v>
      </c>
      <c r="O65" s="89">
        <v>1</v>
      </c>
      <c r="P65" s="66">
        <v>0</v>
      </c>
      <c r="Q65" s="66" t="s">
        <v>1371</v>
      </c>
    </row>
    <row r="66" spans="1:17" x14ac:dyDescent="0.25">
      <c r="A66" s="66">
        <v>63</v>
      </c>
      <c r="B66" s="542"/>
      <c r="C66" s="113" t="s">
        <v>337</v>
      </c>
      <c r="D66" s="496"/>
      <c r="E66" s="495"/>
      <c r="F66" s="496"/>
      <c r="G66" s="496"/>
      <c r="H66" s="539"/>
      <c r="I66" s="89">
        <v>1</v>
      </c>
      <c r="J66" s="89" t="s">
        <v>838</v>
      </c>
      <c r="K66" s="89" t="s">
        <v>343</v>
      </c>
      <c r="L66" s="352" t="s">
        <v>1972</v>
      </c>
      <c r="M66" s="54" t="s">
        <v>873</v>
      </c>
      <c r="N66" s="89">
        <v>1</v>
      </c>
      <c r="O66" s="89">
        <v>1</v>
      </c>
      <c r="P66" s="66">
        <v>0</v>
      </c>
      <c r="Q66" s="66" t="s">
        <v>1371</v>
      </c>
    </row>
    <row r="67" spans="1:17" x14ac:dyDescent="0.25">
      <c r="A67" s="66">
        <v>64</v>
      </c>
      <c r="B67" s="542"/>
      <c r="C67" s="112" t="s">
        <v>337</v>
      </c>
      <c r="D67" s="496"/>
      <c r="E67" s="495"/>
      <c r="F67" s="496"/>
      <c r="G67" s="496"/>
      <c r="H67" s="539"/>
      <c r="I67" s="89">
        <v>1</v>
      </c>
      <c r="J67" s="89" t="s">
        <v>852</v>
      </c>
      <c r="K67" s="89" t="s">
        <v>344</v>
      </c>
      <c r="L67" s="352" t="s">
        <v>1926</v>
      </c>
      <c r="M67" s="54" t="s">
        <v>873</v>
      </c>
      <c r="N67" s="89">
        <v>1</v>
      </c>
      <c r="O67" s="89">
        <v>1</v>
      </c>
      <c r="P67" s="66">
        <v>0</v>
      </c>
      <c r="Q67" s="66" t="s">
        <v>1371</v>
      </c>
    </row>
    <row r="68" spans="1:17" x14ac:dyDescent="0.25">
      <c r="A68" s="66">
        <v>65</v>
      </c>
      <c r="B68" s="542"/>
      <c r="C68" s="112" t="s">
        <v>337</v>
      </c>
      <c r="D68" s="496"/>
      <c r="E68" s="495"/>
      <c r="F68" s="496"/>
      <c r="G68" s="496"/>
      <c r="H68" s="539"/>
      <c r="I68" s="89">
        <v>1</v>
      </c>
      <c r="J68" s="89" t="s">
        <v>838</v>
      </c>
      <c r="K68" s="89" t="s">
        <v>345</v>
      </c>
      <c r="L68" s="352" t="s">
        <v>1927</v>
      </c>
      <c r="M68" s="54" t="s">
        <v>873</v>
      </c>
      <c r="N68" s="89">
        <v>1</v>
      </c>
      <c r="O68" s="89">
        <v>1</v>
      </c>
      <c r="P68" s="66">
        <v>0</v>
      </c>
      <c r="Q68" s="66" t="s">
        <v>1371</v>
      </c>
    </row>
    <row r="69" spans="1:17" x14ac:dyDescent="0.25">
      <c r="A69" s="66">
        <v>66</v>
      </c>
      <c r="B69" s="542"/>
      <c r="C69" s="112" t="s">
        <v>337</v>
      </c>
      <c r="D69" s="496"/>
      <c r="E69" s="495"/>
      <c r="F69" s="496"/>
      <c r="G69" s="496"/>
      <c r="H69" s="539"/>
      <c r="I69" s="89">
        <v>1</v>
      </c>
      <c r="J69" s="89" t="s">
        <v>838</v>
      </c>
      <c r="K69" s="89" t="s">
        <v>346</v>
      </c>
      <c r="L69" s="352" t="s">
        <v>1973</v>
      </c>
      <c r="M69" s="54" t="s">
        <v>873</v>
      </c>
      <c r="N69" s="89">
        <v>1</v>
      </c>
      <c r="O69" s="89">
        <v>1</v>
      </c>
      <c r="P69" s="66">
        <v>0</v>
      </c>
      <c r="Q69" s="66" t="s">
        <v>1371</v>
      </c>
    </row>
    <row r="70" spans="1:17" x14ac:dyDescent="0.25">
      <c r="A70" s="66">
        <v>67</v>
      </c>
      <c r="B70" s="542"/>
      <c r="C70" s="112" t="s">
        <v>337</v>
      </c>
      <c r="D70" s="496"/>
      <c r="E70" s="495"/>
      <c r="F70" s="496"/>
      <c r="G70" s="496"/>
      <c r="H70" s="539"/>
      <c r="I70" s="89">
        <v>1</v>
      </c>
      <c r="J70" s="89" t="s">
        <v>838</v>
      </c>
      <c r="K70" s="89" t="s">
        <v>347</v>
      </c>
      <c r="L70" s="352" t="s">
        <v>1974</v>
      </c>
      <c r="M70" s="54" t="s">
        <v>873</v>
      </c>
      <c r="N70" s="89">
        <v>1</v>
      </c>
      <c r="O70" s="89">
        <v>1</v>
      </c>
      <c r="P70" s="66">
        <v>0</v>
      </c>
      <c r="Q70" s="66" t="s">
        <v>1371</v>
      </c>
    </row>
    <row r="71" spans="1:17" x14ac:dyDescent="0.25">
      <c r="A71" s="66">
        <v>68</v>
      </c>
      <c r="B71" s="542"/>
      <c r="C71" s="112" t="s">
        <v>337</v>
      </c>
      <c r="D71" s="496"/>
      <c r="E71" s="495"/>
      <c r="F71" s="496"/>
      <c r="G71" s="496"/>
      <c r="H71" s="540"/>
      <c r="I71" s="89">
        <v>1</v>
      </c>
      <c r="J71" s="89" t="s">
        <v>852</v>
      </c>
      <c r="K71" s="89" t="s">
        <v>348</v>
      </c>
      <c r="L71" s="352" t="s">
        <v>1975</v>
      </c>
      <c r="M71" s="54" t="s">
        <v>873</v>
      </c>
      <c r="N71" s="89">
        <v>1</v>
      </c>
      <c r="O71" s="89">
        <v>1</v>
      </c>
      <c r="P71" s="66">
        <v>0</v>
      </c>
      <c r="Q71" s="66" t="s">
        <v>1371</v>
      </c>
    </row>
    <row r="72" spans="1:17" ht="56.25" x14ac:dyDescent="0.25">
      <c r="A72" s="66">
        <v>69</v>
      </c>
      <c r="B72" s="441" t="s">
        <v>351</v>
      </c>
      <c r="C72" s="54" t="s">
        <v>354</v>
      </c>
      <c r="D72" s="54">
        <v>1</v>
      </c>
      <c r="E72" s="54" t="s">
        <v>356</v>
      </c>
      <c r="F72" s="54" t="s">
        <v>357</v>
      </c>
      <c r="G72" s="54" t="s">
        <v>358</v>
      </c>
      <c r="H72" s="67">
        <v>797343</v>
      </c>
      <c r="I72" s="54">
        <v>1</v>
      </c>
      <c r="J72" s="54" t="s">
        <v>838</v>
      </c>
      <c r="K72" s="54" t="s">
        <v>359</v>
      </c>
      <c r="L72" s="342" t="s">
        <v>1976</v>
      </c>
      <c r="M72" s="54" t="s">
        <v>873</v>
      </c>
      <c r="N72" s="54">
        <v>1</v>
      </c>
      <c r="O72" s="54">
        <v>1</v>
      </c>
      <c r="P72" s="54">
        <v>0</v>
      </c>
      <c r="Q72" s="66" t="s">
        <v>1371</v>
      </c>
    </row>
    <row r="73" spans="1:17" ht="37.5" x14ac:dyDescent="0.25">
      <c r="A73" s="66">
        <v>70</v>
      </c>
      <c r="B73" s="442"/>
      <c r="C73" s="54" t="s">
        <v>877</v>
      </c>
      <c r="D73" s="66">
        <v>1</v>
      </c>
      <c r="E73" s="89" t="s">
        <v>1114</v>
      </c>
      <c r="F73" s="66" t="s">
        <v>1115</v>
      </c>
      <c r="G73" s="66" t="s">
        <v>221</v>
      </c>
      <c r="H73" s="67">
        <v>48000</v>
      </c>
      <c r="I73" s="54">
        <v>1</v>
      </c>
      <c r="J73" s="54" t="s">
        <v>876</v>
      </c>
      <c r="K73" s="54" t="s">
        <v>1113</v>
      </c>
      <c r="L73" s="342" t="s">
        <v>1931</v>
      </c>
      <c r="M73" s="54" t="s">
        <v>878</v>
      </c>
      <c r="N73" s="54">
        <v>1</v>
      </c>
      <c r="O73" s="54">
        <v>1</v>
      </c>
      <c r="P73" s="54">
        <v>0</v>
      </c>
      <c r="Q73" s="54" t="s">
        <v>879</v>
      </c>
    </row>
    <row r="74" spans="1:17" x14ac:dyDescent="0.25">
      <c r="A74" s="66">
        <v>71</v>
      </c>
      <c r="B74" s="442"/>
      <c r="C74" s="54" t="s">
        <v>355</v>
      </c>
      <c r="D74" s="66">
        <v>2</v>
      </c>
      <c r="E74" s="89">
        <v>2016</v>
      </c>
      <c r="F74" s="66" t="s">
        <v>102</v>
      </c>
      <c r="G74" s="66" t="s">
        <v>221</v>
      </c>
      <c r="H74" s="67">
        <v>2706628.5</v>
      </c>
      <c r="I74" s="54">
        <v>2</v>
      </c>
      <c r="J74" s="54" t="s">
        <v>852</v>
      </c>
      <c r="K74" s="54" t="s">
        <v>360</v>
      </c>
      <c r="L74" s="352" t="s">
        <v>1977</v>
      </c>
      <c r="M74" s="54" t="s">
        <v>873</v>
      </c>
      <c r="N74" s="54">
        <v>2</v>
      </c>
      <c r="O74" s="54">
        <v>2</v>
      </c>
      <c r="P74" s="54">
        <v>0</v>
      </c>
      <c r="Q74" s="66" t="s">
        <v>1371</v>
      </c>
    </row>
    <row r="75" spans="1:17" x14ac:dyDescent="0.25">
      <c r="A75" s="66">
        <v>72</v>
      </c>
      <c r="B75" s="443"/>
      <c r="C75" s="54" t="s">
        <v>361</v>
      </c>
      <c r="D75" s="66">
        <v>1</v>
      </c>
      <c r="E75" s="89">
        <v>2016</v>
      </c>
      <c r="F75" s="66" t="s">
        <v>102</v>
      </c>
      <c r="G75" s="66" t="s">
        <v>221</v>
      </c>
      <c r="H75" s="126">
        <v>113850</v>
      </c>
      <c r="I75" s="89">
        <v>1</v>
      </c>
      <c r="J75" s="89" t="s">
        <v>852</v>
      </c>
      <c r="K75" s="89" t="s">
        <v>362</v>
      </c>
      <c r="L75" s="342" t="s">
        <v>1932</v>
      </c>
      <c r="M75" s="54" t="s">
        <v>873</v>
      </c>
      <c r="N75" s="89">
        <v>1</v>
      </c>
      <c r="O75" s="89">
        <v>1</v>
      </c>
      <c r="P75" s="66">
        <v>0</v>
      </c>
      <c r="Q75" s="66" t="s">
        <v>1371</v>
      </c>
    </row>
    <row r="76" spans="1:17" ht="85.5" customHeight="1" x14ac:dyDescent="0.25">
      <c r="A76" s="66">
        <v>73</v>
      </c>
      <c r="B76" s="482" t="s">
        <v>482</v>
      </c>
      <c r="C76" s="89" t="s">
        <v>363</v>
      </c>
      <c r="D76" s="496">
        <v>49</v>
      </c>
      <c r="E76" s="495">
        <v>2016</v>
      </c>
      <c r="F76" s="496" t="s">
        <v>102</v>
      </c>
      <c r="G76" s="496" t="s">
        <v>221</v>
      </c>
      <c r="H76" s="466">
        <v>1050000</v>
      </c>
      <c r="I76" s="54">
        <v>4</v>
      </c>
      <c r="J76" s="89" t="s">
        <v>852</v>
      </c>
      <c r="K76" s="54" t="s">
        <v>221</v>
      </c>
      <c r="L76" s="226" t="s">
        <v>2088</v>
      </c>
      <c r="M76" s="54" t="s">
        <v>873</v>
      </c>
      <c r="N76" s="54">
        <v>4</v>
      </c>
      <c r="O76" s="54">
        <v>4</v>
      </c>
      <c r="P76" s="66">
        <v>0</v>
      </c>
      <c r="Q76" s="66" t="s">
        <v>1371</v>
      </c>
    </row>
    <row r="77" spans="1:17" ht="99.75" customHeight="1" x14ac:dyDescent="0.25">
      <c r="A77" s="66">
        <v>74</v>
      </c>
      <c r="B77" s="483"/>
      <c r="C77" s="89" t="s">
        <v>364</v>
      </c>
      <c r="D77" s="496"/>
      <c r="E77" s="495"/>
      <c r="F77" s="496"/>
      <c r="G77" s="496"/>
      <c r="H77" s="466"/>
      <c r="I77" s="54">
        <v>5</v>
      </c>
      <c r="J77" s="89" t="s">
        <v>852</v>
      </c>
      <c r="K77" s="54" t="s">
        <v>221</v>
      </c>
      <c r="L77" s="226" t="s">
        <v>2089</v>
      </c>
      <c r="M77" s="54" t="s">
        <v>873</v>
      </c>
      <c r="N77" s="54">
        <v>5</v>
      </c>
      <c r="O77" s="54">
        <v>5</v>
      </c>
      <c r="P77" s="66">
        <v>0</v>
      </c>
      <c r="Q77" s="66" t="s">
        <v>1371</v>
      </c>
    </row>
    <row r="78" spans="1:17" ht="75" customHeight="1" x14ac:dyDescent="0.25">
      <c r="A78" s="66">
        <v>75</v>
      </c>
      <c r="B78" s="483"/>
      <c r="C78" s="89" t="s">
        <v>365</v>
      </c>
      <c r="D78" s="496"/>
      <c r="E78" s="495"/>
      <c r="F78" s="496"/>
      <c r="G78" s="496"/>
      <c r="H78" s="466"/>
      <c r="I78" s="54">
        <v>3</v>
      </c>
      <c r="J78" s="89" t="s">
        <v>852</v>
      </c>
      <c r="K78" s="54" t="s">
        <v>221</v>
      </c>
      <c r="L78" s="226" t="s">
        <v>2090</v>
      </c>
      <c r="M78" s="54" t="s">
        <v>873</v>
      </c>
      <c r="N78" s="54">
        <v>3</v>
      </c>
      <c r="O78" s="54">
        <v>3</v>
      </c>
      <c r="P78" s="66">
        <v>0</v>
      </c>
      <c r="Q78" s="66" t="s">
        <v>1371</v>
      </c>
    </row>
    <row r="79" spans="1:17" ht="120.75" customHeight="1" x14ac:dyDescent="0.3">
      <c r="A79" s="66">
        <v>76</v>
      </c>
      <c r="B79" s="483"/>
      <c r="C79" s="89" t="s">
        <v>366</v>
      </c>
      <c r="D79" s="496"/>
      <c r="E79" s="495"/>
      <c r="F79" s="496"/>
      <c r="G79" s="496"/>
      <c r="H79" s="466"/>
      <c r="I79" s="54">
        <v>4</v>
      </c>
      <c r="J79" s="89" t="s">
        <v>852</v>
      </c>
      <c r="K79" s="54" t="s">
        <v>221</v>
      </c>
      <c r="L79" s="354" t="s">
        <v>2091</v>
      </c>
      <c r="M79" s="54" t="s">
        <v>873</v>
      </c>
      <c r="N79" s="54">
        <v>4</v>
      </c>
      <c r="O79" s="54">
        <v>4</v>
      </c>
      <c r="P79" s="66">
        <v>0</v>
      </c>
      <c r="Q79" s="66" t="s">
        <v>1371</v>
      </c>
    </row>
    <row r="80" spans="1:17" ht="75" x14ac:dyDescent="0.25">
      <c r="A80" s="66">
        <v>77</v>
      </c>
      <c r="B80" s="483"/>
      <c r="C80" s="89" t="s">
        <v>367</v>
      </c>
      <c r="D80" s="496"/>
      <c r="E80" s="495"/>
      <c r="F80" s="496"/>
      <c r="G80" s="496"/>
      <c r="H80" s="466"/>
      <c r="I80" s="54">
        <v>3</v>
      </c>
      <c r="J80" s="89" t="s">
        <v>852</v>
      </c>
      <c r="K80" s="54" t="s">
        <v>221</v>
      </c>
      <c r="L80" s="226" t="s">
        <v>2093</v>
      </c>
      <c r="M80" s="54" t="s">
        <v>873</v>
      </c>
      <c r="N80" s="54">
        <v>3</v>
      </c>
      <c r="O80" s="54">
        <v>3</v>
      </c>
      <c r="P80" s="66">
        <v>0</v>
      </c>
      <c r="Q80" s="66" t="s">
        <v>1371</v>
      </c>
    </row>
    <row r="81" spans="1:17" ht="37.5" x14ac:dyDescent="0.25">
      <c r="A81" s="66">
        <v>78</v>
      </c>
      <c r="B81" s="483"/>
      <c r="C81" s="89" t="s">
        <v>368</v>
      </c>
      <c r="D81" s="496"/>
      <c r="E81" s="495"/>
      <c r="F81" s="496"/>
      <c r="G81" s="496"/>
      <c r="H81" s="466"/>
      <c r="I81" s="54">
        <v>29</v>
      </c>
      <c r="J81" s="89" t="s">
        <v>852</v>
      </c>
      <c r="K81" s="54" t="s">
        <v>221</v>
      </c>
      <c r="L81" s="226" t="s">
        <v>2094</v>
      </c>
      <c r="M81" s="54" t="s">
        <v>873</v>
      </c>
      <c r="N81" s="54">
        <v>29</v>
      </c>
      <c r="O81" s="54">
        <v>29</v>
      </c>
      <c r="P81" s="66">
        <v>0</v>
      </c>
      <c r="Q81" s="66" t="s">
        <v>1371</v>
      </c>
    </row>
    <row r="82" spans="1:17" x14ac:dyDescent="0.25">
      <c r="A82" s="66">
        <v>79</v>
      </c>
      <c r="B82" s="483"/>
      <c r="C82" s="89" t="s">
        <v>369</v>
      </c>
      <c r="D82" s="496"/>
      <c r="E82" s="495"/>
      <c r="F82" s="496"/>
      <c r="G82" s="496"/>
      <c r="H82" s="466"/>
      <c r="I82" s="54">
        <v>1</v>
      </c>
      <c r="J82" s="89" t="s">
        <v>852</v>
      </c>
      <c r="K82" s="54" t="s">
        <v>221</v>
      </c>
      <c r="L82" s="226" t="s">
        <v>2092</v>
      </c>
      <c r="M82" s="54" t="s">
        <v>873</v>
      </c>
      <c r="N82" s="54">
        <v>1</v>
      </c>
      <c r="O82" s="54">
        <v>1</v>
      </c>
      <c r="P82" s="66">
        <v>0</v>
      </c>
      <c r="Q82" s="66" t="s">
        <v>1371</v>
      </c>
    </row>
    <row r="83" spans="1:17" ht="194.25" customHeight="1" x14ac:dyDescent="0.25">
      <c r="A83" s="66">
        <v>80</v>
      </c>
      <c r="B83" s="483"/>
      <c r="C83" s="113" t="s">
        <v>437</v>
      </c>
      <c r="D83" s="112">
        <v>10</v>
      </c>
      <c r="E83" s="431">
        <v>2017</v>
      </c>
      <c r="F83" s="444" t="s">
        <v>278</v>
      </c>
      <c r="G83" s="66" t="s">
        <v>221</v>
      </c>
      <c r="H83" s="62">
        <v>270000</v>
      </c>
      <c r="I83" s="112">
        <v>10</v>
      </c>
      <c r="J83" s="89" t="s">
        <v>852</v>
      </c>
      <c r="K83" s="54" t="s">
        <v>221</v>
      </c>
      <c r="L83" s="226" t="s">
        <v>2095</v>
      </c>
      <c r="M83" s="54" t="s">
        <v>873</v>
      </c>
      <c r="N83" s="112">
        <v>10</v>
      </c>
      <c r="O83" s="112">
        <v>10</v>
      </c>
      <c r="P83" s="66">
        <v>0</v>
      </c>
      <c r="Q83" s="66" t="s">
        <v>1371</v>
      </c>
    </row>
    <row r="84" spans="1:17" ht="67.5" customHeight="1" x14ac:dyDescent="0.25">
      <c r="A84" s="66">
        <v>81</v>
      </c>
      <c r="B84" s="483"/>
      <c r="C84" s="113" t="s">
        <v>438</v>
      </c>
      <c r="D84" s="112">
        <v>3</v>
      </c>
      <c r="E84" s="432"/>
      <c r="F84" s="445"/>
      <c r="G84" s="66" t="s">
        <v>221</v>
      </c>
      <c r="H84" s="62">
        <v>81000</v>
      </c>
      <c r="I84" s="112">
        <v>3</v>
      </c>
      <c r="J84" s="89" t="s">
        <v>852</v>
      </c>
      <c r="K84" s="54" t="s">
        <v>221</v>
      </c>
      <c r="L84" s="226" t="s">
        <v>2096</v>
      </c>
      <c r="M84" s="54" t="s">
        <v>873</v>
      </c>
      <c r="N84" s="112">
        <v>3</v>
      </c>
      <c r="O84" s="112">
        <v>3</v>
      </c>
      <c r="P84" s="66">
        <v>0</v>
      </c>
      <c r="Q84" s="66" t="s">
        <v>1371</v>
      </c>
    </row>
    <row r="85" spans="1:17" ht="166.5" customHeight="1" x14ac:dyDescent="0.25">
      <c r="A85" s="66">
        <v>82</v>
      </c>
      <c r="B85" s="483"/>
      <c r="C85" s="113" t="s">
        <v>439</v>
      </c>
      <c r="D85" s="112">
        <v>9</v>
      </c>
      <c r="E85" s="432"/>
      <c r="F85" s="445"/>
      <c r="G85" s="66" t="s">
        <v>221</v>
      </c>
      <c r="H85" s="62">
        <v>243000</v>
      </c>
      <c r="I85" s="112">
        <v>9</v>
      </c>
      <c r="J85" s="89" t="s">
        <v>852</v>
      </c>
      <c r="K85" s="54" t="s">
        <v>221</v>
      </c>
      <c r="L85" s="226" t="s">
        <v>2100</v>
      </c>
      <c r="M85" s="54" t="s">
        <v>873</v>
      </c>
      <c r="N85" s="112">
        <v>9</v>
      </c>
      <c r="O85" s="112">
        <v>9</v>
      </c>
      <c r="P85" s="66">
        <v>0</v>
      </c>
      <c r="Q85" s="66" t="s">
        <v>1371</v>
      </c>
    </row>
    <row r="86" spans="1:17" x14ac:dyDescent="0.25">
      <c r="A86" s="66">
        <v>83</v>
      </c>
      <c r="B86" s="483"/>
      <c r="C86" s="113" t="s">
        <v>440</v>
      </c>
      <c r="D86" s="112">
        <v>1</v>
      </c>
      <c r="E86" s="432"/>
      <c r="F86" s="445"/>
      <c r="G86" s="66" t="s">
        <v>221</v>
      </c>
      <c r="H86" s="62">
        <v>28500</v>
      </c>
      <c r="I86" s="112">
        <v>1</v>
      </c>
      <c r="J86" s="89" t="s">
        <v>852</v>
      </c>
      <c r="K86" s="54" t="s">
        <v>221</v>
      </c>
      <c r="L86" s="226" t="s">
        <v>2097</v>
      </c>
      <c r="M86" s="54" t="s">
        <v>873</v>
      </c>
      <c r="N86" s="112">
        <v>1</v>
      </c>
      <c r="O86" s="112">
        <v>1</v>
      </c>
      <c r="P86" s="66">
        <v>0</v>
      </c>
      <c r="Q86" s="66" t="s">
        <v>1371</v>
      </c>
    </row>
    <row r="87" spans="1:17" x14ac:dyDescent="0.25">
      <c r="A87" s="66">
        <v>84</v>
      </c>
      <c r="B87" s="483"/>
      <c r="C87" s="113" t="s">
        <v>441</v>
      </c>
      <c r="D87" s="112">
        <v>1</v>
      </c>
      <c r="E87" s="432"/>
      <c r="F87" s="445"/>
      <c r="G87" s="66" t="s">
        <v>221</v>
      </c>
      <c r="H87" s="62">
        <v>28500</v>
      </c>
      <c r="I87" s="112">
        <v>1</v>
      </c>
      <c r="J87" s="89" t="s">
        <v>852</v>
      </c>
      <c r="K87" s="54" t="s">
        <v>221</v>
      </c>
      <c r="L87" s="226" t="s">
        <v>2098</v>
      </c>
      <c r="M87" s="54" t="s">
        <v>873</v>
      </c>
      <c r="N87" s="112">
        <v>1</v>
      </c>
      <c r="O87" s="112">
        <v>1</v>
      </c>
      <c r="P87" s="66">
        <v>0</v>
      </c>
      <c r="Q87" s="66" t="s">
        <v>1371</v>
      </c>
    </row>
    <row r="88" spans="1:17" x14ac:dyDescent="0.25">
      <c r="A88" s="66">
        <v>85</v>
      </c>
      <c r="B88" s="484"/>
      <c r="C88" s="113" t="s">
        <v>442</v>
      </c>
      <c r="D88" s="112">
        <v>2</v>
      </c>
      <c r="E88" s="433"/>
      <c r="F88" s="446"/>
      <c r="G88" s="66" t="s">
        <v>221</v>
      </c>
      <c r="H88" s="62">
        <v>29500</v>
      </c>
      <c r="I88" s="112">
        <v>2</v>
      </c>
      <c r="J88" s="89" t="s">
        <v>852</v>
      </c>
      <c r="K88" s="54" t="s">
        <v>221</v>
      </c>
      <c r="L88" s="226" t="s">
        <v>2099</v>
      </c>
      <c r="M88" s="54" t="s">
        <v>873</v>
      </c>
      <c r="N88" s="112">
        <v>2</v>
      </c>
      <c r="O88" s="112">
        <v>2</v>
      </c>
      <c r="P88" s="66">
        <v>0</v>
      </c>
      <c r="Q88" s="66" t="s">
        <v>1371</v>
      </c>
    </row>
    <row r="89" spans="1:17" x14ac:dyDescent="0.25">
      <c r="A89" s="66">
        <v>86</v>
      </c>
      <c r="B89" s="521" t="s">
        <v>517</v>
      </c>
      <c r="C89" s="521" t="s">
        <v>370</v>
      </c>
      <c r="D89" s="444">
        <v>3</v>
      </c>
      <c r="E89" s="431">
        <v>2016</v>
      </c>
      <c r="F89" s="444" t="s">
        <v>102</v>
      </c>
      <c r="G89" s="66" t="s">
        <v>221</v>
      </c>
      <c r="H89" s="468">
        <v>281075</v>
      </c>
      <c r="I89" s="89">
        <v>1</v>
      </c>
      <c r="J89" s="89" t="s">
        <v>852</v>
      </c>
      <c r="K89" s="89">
        <v>12155465</v>
      </c>
      <c r="L89" s="342" t="s">
        <v>1978</v>
      </c>
      <c r="M89" s="54" t="s">
        <v>873</v>
      </c>
      <c r="N89" s="89">
        <v>1</v>
      </c>
      <c r="O89" s="89">
        <v>1</v>
      </c>
      <c r="P89" s="66">
        <v>0</v>
      </c>
      <c r="Q89" s="66" t="s">
        <v>1371</v>
      </c>
    </row>
    <row r="90" spans="1:17" x14ac:dyDescent="0.25">
      <c r="A90" s="66">
        <v>87</v>
      </c>
      <c r="B90" s="522"/>
      <c r="C90" s="522"/>
      <c r="D90" s="445"/>
      <c r="E90" s="432"/>
      <c r="F90" s="445"/>
      <c r="G90" s="66" t="s">
        <v>221</v>
      </c>
      <c r="H90" s="468"/>
      <c r="I90" s="89">
        <v>1</v>
      </c>
      <c r="J90" s="89" t="s">
        <v>852</v>
      </c>
      <c r="K90" s="89">
        <v>1165760</v>
      </c>
      <c r="L90" s="342" t="s">
        <v>1933</v>
      </c>
      <c r="M90" s="54" t="s">
        <v>873</v>
      </c>
      <c r="N90" s="89">
        <v>1</v>
      </c>
      <c r="O90" s="89">
        <v>1</v>
      </c>
      <c r="P90" s="66">
        <v>0</v>
      </c>
      <c r="Q90" s="66" t="s">
        <v>1371</v>
      </c>
    </row>
    <row r="91" spans="1:17" x14ac:dyDescent="0.25">
      <c r="A91" s="66">
        <v>88</v>
      </c>
      <c r="B91" s="523"/>
      <c r="C91" s="523"/>
      <c r="D91" s="446"/>
      <c r="E91" s="433"/>
      <c r="F91" s="446"/>
      <c r="G91" s="66" t="s">
        <v>221</v>
      </c>
      <c r="H91" s="468"/>
      <c r="I91" s="89">
        <v>1</v>
      </c>
      <c r="J91" s="89" t="s">
        <v>852</v>
      </c>
      <c r="K91" s="89">
        <v>1165761</v>
      </c>
      <c r="L91" s="342" t="s">
        <v>1934</v>
      </c>
      <c r="M91" s="54" t="s">
        <v>873</v>
      </c>
      <c r="N91" s="89">
        <v>1</v>
      </c>
      <c r="O91" s="89">
        <v>1</v>
      </c>
      <c r="P91" s="66">
        <v>0</v>
      </c>
      <c r="Q91" s="66" t="s">
        <v>1371</v>
      </c>
    </row>
    <row r="92" spans="1:17" ht="37.5" x14ac:dyDescent="0.25">
      <c r="A92" s="66">
        <v>89</v>
      </c>
      <c r="B92" s="66"/>
      <c r="C92" s="54" t="s">
        <v>387</v>
      </c>
      <c r="D92" s="54">
        <v>99</v>
      </c>
      <c r="E92" s="54">
        <v>2016</v>
      </c>
      <c r="F92" s="54" t="s">
        <v>102</v>
      </c>
      <c r="G92" s="66" t="s">
        <v>221</v>
      </c>
      <c r="H92" s="121">
        <v>92466</v>
      </c>
      <c r="I92" s="54">
        <v>99</v>
      </c>
      <c r="J92" s="89" t="s">
        <v>852</v>
      </c>
      <c r="K92" s="112" t="s">
        <v>389</v>
      </c>
      <c r="L92" s="226" t="s">
        <v>2087</v>
      </c>
      <c r="M92" s="54" t="s">
        <v>873</v>
      </c>
      <c r="N92" s="54">
        <v>99</v>
      </c>
      <c r="O92" s="54">
        <v>99</v>
      </c>
      <c r="P92" s="66">
        <v>0</v>
      </c>
      <c r="Q92" s="66" t="s">
        <v>1371</v>
      </c>
    </row>
    <row r="93" spans="1:17" ht="37.5" x14ac:dyDescent="0.25">
      <c r="A93" s="66">
        <v>90</v>
      </c>
      <c r="B93" s="66"/>
      <c r="C93" s="54" t="s">
        <v>388</v>
      </c>
      <c r="D93" s="54">
        <v>2</v>
      </c>
      <c r="E93" s="54">
        <v>2016</v>
      </c>
      <c r="F93" s="54" t="s">
        <v>102</v>
      </c>
      <c r="G93" s="66" t="s">
        <v>221</v>
      </c>
      <c r="H93" s="121">
        <v>157320</v>
      </c>
      <c r="I93" s="54">
        <v>2</v>
      </c>
      <c r="J93" s="89" t="s">
        <v>852</v>
      </c>
      <c r="K93" s="112" t="s">
        <v>221</v>
      </c>
      <c r="L93" s="355" t="s">
        <v>2057</v>
      </c>
      <c r="M93" s="54" t="s">
        <v>873</v>
      </c>
      <c r="N93" s="54">
        <v>2</v>
      </c>
      <c r="O93" s="54">
        <v>2</v>
      </c>
      <c r="P93" s="66">
        <v>0</v>
      </c>
      <c r="Q93" s="66" t="s">
        <v>1371</v>
      </c>
    </row>
    <row r="94" spans="1:17" x14ac:dyDescent="0.25">
      <c r="A94" s="66">
        <v>91</v>
      </c>
      <c r="B94" s="66"/>
      <c r="C94" s="524" t="s">
        <v>390</v>
      </c>
      <c r="D94" s="425">
        <v>2</v>
      </c>
      <c r="E94" s="54">
        <v>2016</v>
      </c>
      <c r="F94" s="54" t="s">
        <v>102</v>
      </c>
      <c r="G94" s="66" t="s">
        <v>221</v>
      </c>
      <c r="H94" s="62"/>
      <c r="I94" s="54">
        <v>1</v>
      </c>
      <c r="J94" s="89" t="s">
        <v>852</v>
      </c>
      <c r="K94" s="242" t="s">
        <v>391</v>
      </c>
      <c r="L94" s="334" t="s">
        <v>2009</v>
      </c>
      <c r="M94" s="237" t="s">
        <v>873</v>
      </c>
      <c r="N94" s="54">
        <v>1</v>
      </c>
      <c r="O94" s="54">
        <v>1</v>
      </c>
      <c r="P94" s="66">
        <v>0</v>
      </c>
      <c r="Q94" s="66" t="s">
        <v>1371</v>
      </c>
    </row>
    <row r="95" spans="1:17" x14ac:dyDescent="0.25">
      <c r="A95" s="66">
        <v>92</v>
      </c>
      <c r="B95" s="66"/>
      <c r="C95" s="525"/>
      <c r="D95" s="427"/>
      <c r="E95" s="54">
        <v>2017</v>
      </c>
      <c r="F95" s="54" t="s">
        <v>102</v>
      </c>
      <c r="G95" s="66" t="s">
        <v>221</v>
      </c>
      <c r="H95" s="62">
        <v>185000</v>
      </c>
      <c r="I95" s="54">
        <v>1</v>
      </c>
      <c r="J95" s="89" t="s">
        <v>852</v>
      </c>
      <c r="K95" s="242" t="s">
        <v>443</v>
      </c>
      <c r="L95" s="334" t="s">
        <v>2010</v>
      </c>
      <c r="M95" s="237" t="s">
        <v>873</v>
      </c>
      <c r="N95" s="54">
        <v>1</v>
      </c>
      <c r="O95" s="54">
        <v>1</v>
      </c>
      <c r="P95" s="66">
        <v>0</v>
      </c>
      <c r="Q95" s="66" t="s">
        <v>1371</v>
      </c>
    </row>
    <row r="96" spans="1:17" x14ac:dyDescent="0.25">
      <c r="A96" s="66">
        <v>93</v>
      </c>
      <c r="B96" s="66"/>
      <c r="C96" s="89" t="s">
        <v>392</v>
      </c>
      <c r="D96" s="66">
        <v>1</v>
      </c>
      <c r="E96" s="89">
        <v>2016</v>
      </c>
      <c r="F96" s="66" t="s">
        <v>102</v>
      </c>
      <c r="G96" s="66" t="s">
        <v>221</v>
      </c>
      <c r="H96" s="114">
        <v>15576.75</v>
      </c>
      <c r="I96" s="89">
        <v>1</v>
      </c>
      <c r="J96" s="89" t="s">
        <v>852</v>
      </c>
      <c r="K96" s="255" t="s">
        <v>393</v>
      </c>
      <c r="L96" s="334" t="s">
        <v>2344</v>
      </c>
      <c r="M96" s="237" t="s">
        <v>873</v>
      </c>
      <c r="N96" s="89">
        <v>1</v>
      </c>
      <c r="O96" s="89">
        <v>1</v>
      </c>
      <c r="P96" s="66">
        <v>0</v>
      </c>
      <c r="Q96" s="66" t="s">
        <v>1371</v>
      </c>
    </row>
    <row r="97" spans="1:17" x14ac:dyDescent="0.25">
      <c r="A97" s="66">
        <v>94</v>
      </c>
      <c r="B97" s="489" t="s">
        <v>485</v>
      </c>
      <c r="C97" s="537" t="s">
        <v>371</v>
      </c>
      <c r="D97" s="496">
        <v>15</v>
      </c>
      <c r="E97" s="495">
        <v>2016</v>
      </c>
      <c r="F97" s="496" t="s">
        <v>102</v>
      </c>
      <c r="G97" s="496" t="s">
        <v>221</v>
      </c>
      <c r="H97" s="468">
        <v>111780</v>
      </c>
      <c r="I97" s="89">
        <v>1</v>
      </c>
      <c r="J97" s="89" t="s">
        <v>852</v>
      </c>
      <c r="K97" s="255" t="s">
        <v>372</v>
      </c>
      <c r="L97" s="334" t="s">
        <v>2051</v>
      </c>
      <c r="M97" s="237" t="s">
        <v>873</v>
      </c>
      <c r="N97" s="89">
        <v>1</v>
      </c>
      <c r="O97" s="89">
        <v>1</v>
      </c>
      <c r="P97" s="66">
        <v>0</v>
      </c>
      <c r="Q97" s="66" t="s">
        <v>1371</v>
      </c>
    </row>
    <row r="98" spans="1:17" x14ac:dyDescent="0.25">
      <c r="A98" s="66">
        <v>95</v>
      </c>
      <c r="B98" s="490"/>
      <c r="C98" s="537"/>
      <c r="D98" s="496"/>
      <c r="E98" s="495"/>
      <c r="F98" s="496"/>
      <c r="G98" s="496"/>
      <c r="H98" s="468"/>
      <c r="I98" s="89">
        <v>1</v>
      </c>
      <c r="J98" s="89" t="s">
        <v>852</v>
      </c>
      <c r="K98" s="255" t="s">
        <v>373</v>
      </c>
      <c r="L98" s="352" t="s">
        <v>1935</v>
      </c>
      <c r="M98" s="237" t="s">
        <v>873</v>
      </c>
      <c r="N98" s="89">
        <v>1</v>
      </c>
      <c r="O98" s="89">
        <v>1</v>
      </c>
      <c r="P98" s="66">
        <v>0</v>
      </c>
      <c r="Q98" s="66" t="s">
        <v>1371</v>
      </c>
    </row>
    <row r="99" spans="1:17" x14ac:dyDescent="0.3">
      <c r="A99" s="66">
        <v>96</v>
      </c>
      <c r="B99" s="490"/>
      <c r="C99" s="537"/>
      <c r="D99" s="496"/>
      <c r="E99" s="495"/>
      <c r="F99" s="496"/>
      <c r="G99" s="496"/>
      <c r="H99" s="468"/>
      <c r="I99" s="89">
        <v>1</v>
      </c>
      <c r="J99" s="89" t="s">
        <v>852</v>
      </c>
      <c r="K99" s="255" t="s">
        <v>374</v>
      </c>
      <c r="L99" s="343" t="s">
        <v>1936</v>
      </c>
      <c r="M99" s="237" t="s">
        <v>873</v>
      </c>
      <c r="N99" s="89">
        <v>1</v>
      </c>
      <c r="O99" s="89">
        <v>1</v>
      </c>
      <c r="P99" s="66">
        <v>0</v>
      </c>
      <c r="Q99" s="66" t="s">
        <v>1371</v>
      </c>
    </row>
    <row r="100" spans="1:17" x14ac:dyDescent="0.3">
      <c r="A100" s="66">
        <v>97</v>
      </c>
      <c r="B100" s="490"/>
      <c r="C100" s="537"/>
      <c r="D100" s="496"/>
      <c r="E100" s="495"/>
      <c r="F100" s="496"/>
      <c r="G100" s="496"/>
      <c r="H100" s="468"/>
      <c r="I100" s="89">
        <v>1</v>
      </c>
      <c r="J100" s="89" t="s">
        <v>852</v>
      </c>
      <c r="K100" s="255" t="s">
        <v>375</v>
      </c>
      <c r="L100" s="343" t="s">
        <v>1937</v>
      </c>
      <c r="M100" s="237" t="s">
        <v>873</v>
      </c>
      <c r="N100" s="89">
        <v>1</v>
      </c>
      <c r="O100" s="89">
        <v>1</v>
      </c>
      <c r="P100" s="66">
        <v>0</v>
      </c>
      <c r="Q100" s="66" t="s">
        <v>1371</v>
      </c>
    </row>
    <row r="101" spans="1:17" x14ac:dyDescent="0.25">
      <c r="A101" s="66">
        <v>98</v>
      </c>
      <c r="B101" s="490"/>
      <c r="C101" s="537"/>
      <c r="D101" s="496"/>
      <c r="E101" s="495"/>
      <c r="F101" s="496"/>
      <c r="G101" s="496"/>
      <c r="H101" s="468"/>
      <c r="I101" s="89">
        <v>1</v>
      </c>
      <c r="J101" s="89" t="s">
        <v>852</v>
      </c>
      <c r="K101" s="255" t="s">
        <v>376</v>
      </c>
      <c r="L101" s="334" t="s">
        <v>1938</v>
      </c>
      <c r="M101" s="237" t="s">
        <v>873</v>
      </c>
      <c r="N101" s="89">
        <v>1</v>
      </c>
      <c r="O101" s="89">
        <v>1</v>
      </c>
      <c r="P101" s="66">
        <v>0</v>
      </c>
      <c r="Q101" s="66" t="s">
        <v>1371</v>
      </c>
    </row>
    <row r="102" spans="1:17" x14ac:dyDescent="0.25">
      <c r="A102" s="66">
        <v>99</v>
      </c>
      <c r="B102" s="490"/>
      <c r="C102" s="537"/>
      <c r="D102" s="496"/>
      <c r="E102" s="495"/>
      <c r="F102" s="496"/>
      <c r="G102" s="496"/>
      <c r="H102" s="468"/>
      <c r="I102" s="89">
        <v>1</v>
      </c>
      <c r="J102" s="89" t="s">
        <v>852</v>
      </c>
      <c r="K102" s="255" t="s">
        <v>377</v>
      </c>
      <c r="L102" s="352" t="s">
        <v>1939</v>
      </c>
      <c r="M102" s="237" t="s">
        <v>873</v>
      </c>
      <c r="N102" s="89">
        <v>1</v>
      </c>
      <c r="O102" s="89">
        <v>1</v>
      </c>
      <c r="P102" s="66">
        <v>0</v>
      </c>
      <c r="Q102" s="66" t="s">
        <v>1371</v>
      </c>
    </row>
    <row r="103" spans="1:17" x14ac:dyDescent="0.25">
      <c r="A103" s="66">
        <v>100</v>
      </c>
      <c r="B103" s="490"/>
      <c r="C103" s="537"/>
      <c r="D103" s="496"/>
      <c r="E103" s="495"/>
      <c r="F103" s="496"/>
      <c r="G103" s="496"/>
      <c r="H103" s="468"/>
      <c r="I103" s="89">
        <v>1</v>
      </c>
      <c r="J103" s="89" t="s">
        <v>852</v>
      </c>
      <c r="K103" s="89" t="s">
        <v>378</v>
      </c>
      <c r="L103" s="341" t="s">
        <v>1940</v>
      </c>
      <c r="M103" s="54" t="s">
        <v>873</v>
      </c>
      <c r="N103" s="89">
        <v>1</v>
      </c>
      <c r="O103" s="89">
        <v>1</v>
      </c>
      <c r="P103" s="66">
        <v>0</v>
      </c>
      <c r="Q103" s="66" t="s">
        <v>1371</v>
      </c>
    </row>
    <row r="104" spans="1:17" x14ac:dyDescent="0.25">
      <c r="A104" s="66">
        <v>101</v>
      </c>
      <c r="B104" s="490"/>
      <c r="C104" s="537"/>
      <c r="D104" s="496"/>
      <c r="E104" s="495"/>
      <c r="F104" s="496"/>
      <c r="G104" s="496"/>
      <c r="H104" s="468"/>
      <c r="I104" s="89">
        <v>1</v>
      </c>
      <c r="J104" s="89" t="s">
        <v>852</v>
      </c>
      <c r="K104" s="89" t="s">
        <v>379</v>
      </c>
      <c r="L104" s="226" t="s">
        <v>2052</v>
      </c>
      <c r="M104" s="54" t="s">
        <v>873</v>
      </c>
      <c r="N104" s="89">
        <v>1</v>
      </c>
      <c r="O104" s="89">
        <v>1</v>
      </c>
      <c r="P104" s="66">
        <v>0</v>
      </c>
      <c r="Q104" s="66" t="s">
        <v>1371</v>
      </c>
    </row>
    <row r="105" spans="1:17" x14ac:dyDescent="0.3">
      <c r="A105" s="66">
        <v>102</v>
      </c>
      <c r="B105" s="490"/>
      <c r="C105" s="537"/>
      <c r="D105" s="496"/>
      <c r="E105" s="495"/>
      <c r="F105" s="496"/>
      <c r="G105" s="496"/>
      <c r="H105" s="468"/>
      <c r="I105" s="89">
        <v>1</v>
      </c>
      <c r="J105" s="89" t="s">
        <v>852</v>
      </c>
      <c r="K105" s="89" t="s">
        <v>380</v>
      </c>
      <c r="L105" s="344" t="s">
        <v>1941</v>
      </c>
      <c r="M105" s="54" t="s">
        <v>873</v>
      </c>
      <c r="N105" s="89">
        <v>1</v>
      </c>
      <c r="O105" s="89">
        <v>1</v>
      </c>
      <c r="P105" s="66">
        <v>0</v>
      </c>
      <c r="Q105" s="66" t="s">
        <v>1371</v>
      </c>
    </row>
    <row r="106" spans="1:17" x14ac:dyDescent="0.25">
      <c r="A106" s="66">
        <v>103</v>
      </c>
      <c r="B106" s="490"/>
      <c r="C106" s="537"/>
      <c r="D106" s="496"/>
      <c r="E106" s="495"/>
      <c r="F106" s="496"/>
      <c r="G106" s="496"/>
      <c r="H106" s="468"/>
      <c r="I106" s="89">
        <v>1</v>
      </c>
      <c r="J106" s="89" t="s">
        <v>852</v>
      </c>
      <c r="K106" s="89" t="s">
        <v>381</v>
      </c>
      <c r="L106" s="226" t="s">
        <v>2053</v>
      </c>
      <c r="M106" s="54" t="s">
        <v>873</v>
      </c>
      <c r="N106" s="89">
        <v>1</v>
      </c>
      <c r="O106" s="89">
        <v>1</v>
      </c>
      <c r="P106" s="66">
        <v>0</v>
      </c>
      <c r="Q106" s="66" t="s">
        <v>1371</v>
      </c>
    </row>
    <row r="107" spans="1:17" x14ac:dyDescent="0.25">
      <c r="A107" s="66">
        <v>104</v>
      </c>
      <c r="B107" s="490"/>
      <c r="C107" s="537"/>
      <c r="D107" s="496"/>
      <c r="E107" s="495"/>
      <c r="F107" s="496"/>
      <c r="G107" s="496"/>
      <c r="H107" s="468"/>
      <c r="I107" s="89">
        <v>1</v>
      </c>
      <c r="J107" s="89" t="s">
        <v>852</v>
      </c>
      <c r="K107" s="89" t="s">
        <v>382</v>
      </c>
      <c r="L107" s="226" t="s">
        <v>1942</v>
      </c>
      <c r="M107" s="54" t="s">
        <v>873</v>
      </c>
      <c r="N107" s="89">
        <v>1</v>
      </c>
      <c r="O107" s="89">
        <v>1</v>
      </c>
      <c r="P107" s="66">
        <v>0</v>
      </c>
      <c r="Q107" s="66" t="s">
        <v>1371</v>
      </c>
    </row>
    <row r="108" spans="1:17" x14ac:dyDescent="0.25">
      <c r="A108" s="66">
        <v>105</v>
      </c>
      <c r="B108" s="490"/>
      <c r="C108" s="537"/>
      <c r="D108" s="496"/>
      <c r="E108" s="495"/>
      <c r="F108" s="496"/>
      <c r="G108" s="496"/>
      <c r="H108" s="468"/>
      <c r="I108" s="89">
        <v>1</v>
      </c>
      <c r="J108" s="89" t="s">
        <v>852</v>
      </c>
      <c r="K108" s="89" t="s">
        <v>383</v>
      </c>
      <c r="L108" s="226" t="s">
        <v>1943</v>
      </c>
      <c r="M108" s="54" t="s">
        <v>873</v>
      </c>
      <c r="N108" s="89">
        <v>1</v>
      </c>
      <c r="O108" s="89">
        <v>1</v>
      </c>
      <c r="P108" s="66">
        <v>0</v>
      </c>
      <c r="Q108" s="66" t="s">
        <v>1371</v>
      </c>
    </row>
    <row r="109" spans="1:17" x14ac:dyDescent="0.25">
      <c r="A109" s="66">
        <v>106</v>
      </c>
      <c r="B109" s="490"/>
      <c r="C109" s="537"/>
      <c r="D109" s="496"/>
      <c r="E109" s="495"/>
      <c r="F109" s="496"/>
      <c r="G109" s="496"/>
      <c r="H109" s="468"/>
      <c r="I109" s="89">
        <v>1</v>
      </c>
      <c r="J109" s="89" t="s">
        <v>852</v>
      </c>
      <c r="K109" s="89" t="s">
        <v>384</v>
      </c>
      <c r="L109" s="226" t="s">
        <v>2054</v>
      </c>
      <c r="M109" s="54" t="s">
        <v>873</v>
      </c>
      <c r="N109" s="89">
        <v>1</v>
      </c>
      <c r="O109" s="89">
        <v>1</v>
      </c>
      <c r="P109" s="66">
        <v>0</v>
      </c>
      <c r="Q109" s="66" t="s">
        <v>1371</v>
      </c>
    </row>
    <row r="110" spans="1:17" x14ac:dyDescent="0.25">
      <c r="A110" s="66">
        <v>107</v>
      </c>
      <c r="B110" s="490"/>
      <c r="C110" s="537"/>
      <c r="D110" s="496"/>
      <c r="E110" s="495"/>
      <c r="F110" s="496"/>
      <c r="G110" s="496"/>
      <c r="H110" s="468"/>
      <c r="I110" s="89">
        <v>1</v>
      </c>
      <c r="J110" s="89" t="s">
        <v>852</v>
      </c>
      <c r="K110" s="89" t="s">
        <v>385</v>
      </c>
      <c r="L110" s="226" t="s">
        <v>2055</v>
      </c>
      <c r="M110" s="54" t="s">
        <v>873</v>
      </c>
      <c r="N110" s="89">
        <v>1</v>
      </c>
      <c r="O110" s="89">
        <v>1</v>
      </c>
      <c r="P110" s="66">
        <v>0</v>
      </c>
      <c r="Q110" s="66" t="s">
        <v>1371</v>
      </c>
    </row>
    <row r="111" spans="1:17" x14ac:dyDescent="0.25">
      <c r="A111" s="66">
        <v>108</v>
      </c>
      <c r="B111" s="490"/>
      <c r="C111" s="537"/>
      <c r="D111" s="496"/>
      <c r="E111" s="495"/>
      <c r="F111" s="496"/>
      <c r="G111" s="496"/>
      <c r="H111" s="468"/>
      <c r="I111" s="89">
        <v>1</v>
      </c>
      <c r="J111" s="89" t="s">
        <v>852</v>
      </c>
      <c r="K111" s="89" t="s">
        <v>386</v>
      </c>
      <c r="L111" s="226" t="s">
        <v>2056</v>
      </c>
      <c r="M111" s="54" t="s">
        <v>873</v>
      </c>
      <c r="N111" s="89">
        <v>1</v>
      </c>
      <c r="O111" s="89">
        <v>1</v>
      </c>
      <c r="P111" s="66">
        <v>0</v>
      </c>
      <c r="Q111" s="66" t="s">
        <v>1371</v>
      </c>
    </row>
    <row r="112" spans="1:17" ht="15.75" customHeight="1" x14ac:dyDescent="0.25">
      <c r="A112" s="66">
        <v>109</v>
      </c>
      <c r="B112" s="490"/>
      <c r="C112" s="119" t="s">
        <v>875</v>
      </c>
      <c r="D112" s="119">
        <v>1</v>
      </c>
      <c r="E112" s="119" t="s">
        <v>1118</v>
      </c>
      <c r="F112" s="119" t="s">
        <v>1116</v>
      </c>
      <c r="G112" s="119" t="s">
        <v>1117</v>
      </c>
      <c r="H112" s="62">
        <v>17069.38</v>
      </c>
      <c r="I112" s="54">
        <v>1</v>
      </c>
      <c r="J112" s="54" t="s">
        <v>852</v>
      </c>
      <c r="K112" s="61" t="s">
        <v>1010</v>
      </c>
      <c r="L112" s="226" t="s">
        <v>1952</v>
      </c>
      <c r="M112" s="54" t="s">
        <v>873</v>
      </c>
      <c r="N112" s="54">
        <v>1</v>
      </c>
      <c r="O112" s="54">
        <v>1</v>
      </c>
      <c r="P112" s="54">
        <v>0</v>
      </c>
      <c r="Q112" s="66" t="s">
        <v>1371</v>
      </c>
    </row>
    <row r="113" spans="1:17" x14ac:dyDescent="0.25">
      <c r="A113" s="66">
        <v>110</v>
      </c>
      <c r="B113" s="490"/>
      <c r="C113" s="526" t="s">
        <v>394</v>
      </c>
      <c r="D113" s="444">
        <v>12</v>
      </c>
      <c r="E113" s="495">
        <v>2017</v>
      </c>
      <c r="F113" s="444" t="s">
        <v>278</v>
      </c>
      <c r="G113" s="444" t="s">
        <v>221</v>
      </c>
      <c r="H113" s="534">
        <v>414000</v>
      </c>
      <c r="I113" s="89">
        <v>1</v>
      </c>
      <c r="J113" s="89" t="s">
        <v>852</v>
      </c>
      <c r="K113" s="89" t="s">
        <v>396</v>
      </c>
      <c r="L113" s="226" t="s">
        <v>2060</v>
      </c>
      <c r="M113" s="54" t="s">
        <v>873</v>
      </c>
      <c r="N113" s="89">
        <v>1</v>
      </c>
      <c r="O113" s="89">
        <v>1</v>
      </c>
      <c r="P113" s="66">
        <v>0</v>
      </c>
      <c r="Q113" s="66" t="s">
        <v>1371</v>
      </c>
    </row>
    <row r="114" spans="1:17" x14ac:dyDescent="0.25">
      <c r="A114" s="66">
        <v>111</v>
      </c>
      <c r="B114" s="490"/>
      <c r="C114" s="527"/>
      <c r="D114" s="445"/>
      <c r="E114" s="495"/>
      <c r="F114" s="445"/>
      <c r="G114" s="445"/>
      <c r="H114" s="535"/>
      <c r="I114" s="89">
        <v>1</v>
      </c>
      <c r="J114" s="89" t="s">
        <v>852</v>
      </c>
      <c r="K114" s="89" t="s">
        <v>397</v>
      </c>
      <c r="L114" s="226" t="s">
        <v>2061</v>
      </c>
      <c r="M114" s="54" t="s">
        <v>873</v>
      </c>
      <c r="N114" s="89">
        <v>1</v>
      </c>
      <c r="O114" s="89">
        <v>1</v>
      </c>
      <c r="P114" s="66">
        <v>0</v>
      </c>
      <c r="Q114" s="66" t="s">
        <v>1371</v>
      </c>
    </row>
    <row r="115" spans="1:17" x14ac:dyDescent="0.25">
      <c r="A115" s="66">
        <v>112</v>
      </c>
      <c r="B115" s="490"/>
      <c r="C115" s="527"/>
      <c r="D115" s="445"/>
      <c r="E115" s="495"/>
      <c r="F115" s="445"/>
      <c r="G115" s="445"/>
      <c r="H115" s="535"/>
      <c r="I115" s="89">
        <v>1</v>
      </c>
      <c r="J115" s="89" t="s">
        <v>852</v>
      </c>
      <c r="K115" s="89" t="s">
        <v>398</v>
      </c>
      <c r="L115" s="226" t="s">
        <v>2062</v>
      </c>
      <c r="M115" s="54" t="s">
        <v>873</v>
      </c>
      <c r="N115" s="89">
        <v>1</v>
      </c>
      <c r="O115" s="89">
        <v>1</v>
      </c>
      <c r="P115" s="66">
        <v>0</v>
      </c>
      <c r="Q115" s="66" t="s">
        <v>1371</v>
      </c>
    </row>
    <row r="116" spans="1:17" x14ac:dyDescent="0.25">
      <c r="A116" s="66">
        <v>113</v>
      </c>
      <c r="B116" s="490"/>
      <c r="C116" s="527"/>
      <c r="D116" s="445"/>
      <c r="E116" s="495"/>
      <c r="F116" s="445"/>
      <c r="G116" s="445"/>
      <c r="H116" s="535"/>
      <c r="I116" s="89">
        <v>1</v>
      </c>
      <c r="J116" s="89" t="s">
        <v>852</v>
      </c>
      <c r="K116" s="89" t="s">
        <v>399</v>
      </c>
      <c r="L116" s="226" t="s">
        <v>2063</v>
      </c>
      <c r="M116" s="54" t="s">
        <v>873</v>
      </c>
      <c r="N116" s="89">
        <v>1</v>
      </c>
      <c r="O116" s="89">
        <v>1</v>
      </c>
      <c r="P116" s="66">
        <v>0</v>
      </c>
      <c r="Q116" s="66" t="s">
        <v>1371</v>
      </c>
    </row>
    <row r="117" spans="1:17" x14ac:dyDescent="0.25">
      <c r="A117" s="66">
        <v>114</v>
      </c>
      <c r="B117" s="490"/>
      <c r="C117" s="527"/>
      <c r="D117" s="445"/>
      <c r="E117" s="495"/>
      <c r="F117" s="445"/>
      <c r="G117" s="445"/>
      <c r="H117" s="535"/>
      <c r="I117" s="89">
        <v>1</v>
      </c>
      <c r="J117" s="89" t="s">
        <v>852</v>
      </c>
      <c r="K117" s="224" t="s">
        <v>400</v>
      </c>
      <c r="L117" s="226" t="s">
        <v>2064</v>
      </c>
      <c r="M117" s="54" t="s">
        <v>873</v>
      </c>
      <c r="N117" s="89">
        <v>1</v>
      </c>
      <c r="O117" s="89">
        <v>1</v>
      </c>
      <c r="P117" s="66">
        <v>0</v>
      </c>
      <c r="Q117" s="66" t="s">
        <v>1371</v>
      </c>
    </row>
    <row r="118" spans="1:17" x14ac:dyDescent="0.25">
      <c r="A118" s="66">
        <v>115</v>
      </c>
      <c r="B118" s="490"/>
      <c r="C118" s="527"/>
      <c r="D118" s="445"/>
      <c r="E118" s="495"/>
      <c r="F118" s="445"/>
      <c r="G118" s="445"/>
      <c r="H118" s="535"/>
      <c r="I118" s="89">
        <v>1</v>
      </c>
      <c r="J118" s="89" t="s">
        <v>852</v>
      </c>
      <c r="K118" s="89" t="s">
        <v>401</v>
      </c>
      <c r="L118" s="226" t="s">
        <v>2065</v>
      </c>
      <c r="M118" s="54" t="s">
        <v>873</v>
      </c>
      <c r="N118" s="89">
        <v>1</v>
      </c>
      <c r="O118" s="89">
        <v>1</v>
      </c>
      <c r="P118" s="66">
        <v>0</v>
      </c>
      <c r="Q118" s="66" t="s">
        <v>1371</v>
      </c>
    </row>
    <row r="119" spans="1:17" x14ac:dyDescent="0.25">
      <c r="A119" s="66">
        <v>116</v>
      </c>
      <c r="B119" s="490"/>
      <c r="C119" s="527"/>
      <c r="D119" s="445"/>
      <c r="E119" s="495"/>
      <c r="F119" s="445"/>
      <c r="G119" s="445"/>
      <c r="H119" s="535"/>
      <c r="I119" s="89">
        <v>1</v>
      </c>
      <c r="J119" s="89" t="s">
        <v>852</v>
      </c>
      <c r="K119" s="89" t="s">
        <v>402</v>
      </c>
      <c r="L119" s="226" t="s">
        <v>2066</v>
      </c>
      <c r="M119" s="54" t="s">
        <v>873</v>
      </c>
      <c r="N119" s="89">
        <v>1</v>
      </c>
      <c r="O119" s="89">
        <v>1</v>
      </c>
      <c r="P119" s="66">
        <v>0</v>
      </c>
      <c r="Q119" s="66" t="s">
        <v>1371</v>
      </c>
    </row>
    <row r="120" spans="1:17" x14ac:dyDescent="0.25">
      <c r="A120" s="66">
        <v>117</v>
      </c>
      <c r="B120" s="490"/>
      <c r="C120" s="527"/>
      <c r="D120" s="445"/>
      <c r="E120" s="495"/>
      <c r="F120" s="445"/>
      <c r="G120" s="445"/>
      <c r="H120" s="535"/>
      <c r="I120" s="89">
        <v>1</v>
      </c>
      <c r="J120" s="89" t="s">
        <v>852</v>
      </c>
      <c r="K120" s="89" t="s">
        <v>403</v>
      </c>
      <c r="L120" s="226" t="s">
        <v>2067</v>
      </c>
      <c r="M120" s="54" t="s">
        <v>873</v>
      </c>
      <c r="N120" s="89">
        <v>1</v>
      </c>
      <c r="O120" s="89">
        <v>1</v>
      </c>
      <c r="P120" s="66">
        <v>0</v>
      </c>
      <c r="Q120" s="66" t="s">
        <v>1371</v>
      </c>
    </row>
    <row r="121" spans="1:17" x14ac:dyDescent="0.25">
      <c r="A121" s="66">
        <v>118</v>
      </c>
      <c r="B121" s="490"/>
      <c r="C121" s="527"/>
      <c r="D121" s="445"/>
      <c r="E121" s="495"/>
      <c r="F121" s="445"/>
      <c r="G121" s="445"/>
      <c r="H121" s="535"/>
      <c r="I121" s="89">
        <v>1</v>
      </c>
      <c r="J121" s="89" t="s">
        <v>852</v>
      </c>
      <c r="K121" s="89" t="s">
        <v>404</v>
      </c>
      <c r="L121" s="226" t="s">
        <v>2068</v>
      </c>
      <c r="M121" s="54" t="s">
        <v>873</v>
      </c>
      <c r="N121" s="89">
        <v>1</v>
      </c>
      <c r="O121" s="89">
        <v>1</v>
      </c>
      <c r="P121" s="66">
        <v>0</v>
      </c>
      <c r="Q121" s="66" t="s">
        <v>1371</v>
      </c>
    </row>
    <row r="122" spans="1:17" x14ac:dyDescent="0.25">
      <c r="A122" s="66">
        <v>119</v>
      </c>
      <c r="B122" s="490"/>
      <c r="C122" s="527"/>
      <c r="D122" s="445"/>
      <c r="E122" s="495"/>
      <c r="F122" s="445"/>
      <c r="G122" s="445"/>
      <c r="H122" s="535"/>
      <c r="I122" s="89">
        <v>1</v>
      </c>
      <c r="J122" s="89" t="s">
        <v>852</v>
      </c>
      <c r="K122" s="89" t="s">
        <v>405</v>
      </c>
      <c r="L122" s="226" t="s">
        <v>2069</v>
      </c>
      <c r="M122" s="54" t="s">
        <v>873</v>
      </c>
      <c r="N122" s="89">
        <v>1</v>
      </c>
      <c r="O122" s="89">
        <v>1</v>
      </c>
      <c r="P122" s="66">
        <v>0</v>
      </c>
      <c r="Q122" s="66" t="s">
        <v>1371</v>
      </c>
    </row>
    <row r="123" spans="1:17" x14ac:dyDescent="0.25">
      <c r="A123" s="66">
        <v>120</v>
      </c>
      <c r="B123" s="490"/>
      <c r="C123" s="527"/>
      <c r="D123" s="445"/>
      <c r="E123" s="495"/>
      <c r="F123" s="445"/>
      <c r="G123" s="445"/>
      <c r="H123" s="535"/>
      <c r="I123" s="89">
        <v>1</v>
      </c>
      <c r="J123" s="89" t="s">
        <v>852</v>
      </c>
      <c r="K123" s="89" t="s">
        <v>406</v>
      </c>
      <c r="L123" s="226" t="s">
        <v>2070</v>
      </c>
      <c r="M123" s="54" t="s">
        <v>873</v>
      </c>
      <c r="N123" s="89">
        <v>1</v>
      </c>
      <c r="O123" s="89">
        <v>1</v>
      </c>
      <c r="P123" s="66">
        <v>0</v>
      </c>
      <c r="Q123" s="66" t="s">
        <v>1371</v>
      </c>
    </row>
    <row r="124" spans="1:17" x14ac:dyDescent="0.25">
      <c r="A124" s="66">
        <v>121</v>
      </c>
      <c r="B124" s="490"/>
      <c r="C124" s="528"/>
      <c r="D124" s="446"/>
      <c r="E124" s="495"/>
      <c r="F124" s="445"/>
      <c r="G124" s="445"/>
      <c r="H124" s="535"/>
      <c r="I124" s="89">
        <v>1</v>
      </c>
      <c r="J124" s="89" t="s">
        <v>852</v>
      </c>
      <c r="K124" s="89" t="s">
        <v>407</v>
      </c>
      <c r="L124" s="226" t="s">
        <v>2071</v>
      </c>
      <c r="M124" s="54" t="s">
        <v>873</v>
      </c>
      <c r="N124" s="89">
        <v>1</v>
      </c>
      <c r="O124" s="89">
        <v>1</v>
      </c>
      <c r="P124" s="66">
        <v>0</v>
      </c>
      <c r="Q124" s="66" t="s">
        <v>1371</v>
      </c>
    </row>
    <row r="125" spans="1:17" x14ac:dyDescent="0.25">
      <c r="A125" s="66">
        <v>122</v>
      </c>
      <c r="B125" s="490"/>
      <c r="C125" s="431" t="s">
        <v>395</v>
      </c>
      <c r="D125" s="444">
        <v>2</v>
      </c>
      <c r="E125" s="495"/>
      <c r="F125" s="445"/>
      <c r="G125" s="445"/>
      <c r="H125" s="535"/>
      <c r="I125" s="89">
        <v>1</v>
      </c>
      <c r="J125" s="89" t="s">
        <v>852</v>
      </c>
      <c r="K125" s="89" t="s">
        <v>483</v>
      </c>
      <c r="L125" s="226" t="s">
        <v>2058</v>
      </c>
      <c r="M125" s="54" t="s">
        <v>873</v>
      </c>
      <c r="N125" s="89">
        <v>1</v>
      </c>
      <c r="O125" s="89">
        <v>1</v>
      </c>
      <c r="P125" s="66">
        <v>0</v>
      </c>
      <c r="Q125" s="66" t="s">
        <v>1371</v>
      </c>
    </row>
    <row r="126" spans="1:17" x14ac:dyDescent="0.25">
      <c r="A126" s="66">
        <v>123</v>
      </c>
      <c r="B126" s="490"/>
      <c r="C126" s="433"/>
      <c r="D126" s="446"/>
      <c r="E126" s="495"/>
      <c r="F126" s="446"/>
      <c r="G126" s="446"/>
      <c r="H126" s="536"/>
      <c r="I126" s="89">
        <v>1</v>
      </c>
      <c r="J126" s="89" t="s">
        <v>852</v>
      </c>
      <c r="K126" s="89" t="s">
        <v>408</v>
      </c>
      <c r="L126" s="226" t="s">
        <v>2059</v>
      </c>
      <c r="M126" s="54" t="s">
        <v>873</v>
      </c>
      <c r="N126" s="89">
        <v>1</v>
      </c>
      <c r="O126" s="89">
        <v>1</v>
      </c>
      <c r="P126" s="66">
        <v>0</v>
      </c>
      <c r="Q126" s="66" t="s">
        <v>1371</v>
      </c>
    </row>
    <row r="127" spans="1:17" x14ac:dyDescent="0.25">
      <c r="A127" s="66">
        <v>124</v>
      </c>
      <c r="B127" s="490"/>
      <c r="C127" s="521" t="s">
        <v>409</v>
      </c>
      <c r="D127" s="444">
        <v>9</v>
      </c>
      <c r="E127" s="464" t="s">
        <v>413</v>
      </c>
      <c r="F127" s="496" t="s">
        <v>414</v>
      </c>
      <c r="G127" s="496" t="s">
        <v>415</v>
      </c>
      <c r="H127" s="466">
        <v>390640</v>
      </c>
      <c r="I127" s="54">
        <v>1</v>
      </c>
      <c r="J127" s="54" t="s">
        <v>838</v>
      </c>
      <c r="K127" s="54" t="s">
        <v>416</v>
      </c>
      <c r="L127" s="334" t="s">
        <v>1811</v>
      </c>
      <c r="M127" s="54" t="s">
        <v>873</v>
      </c>
      <c r="N127" s="54">
        <v>1</v>
      </c>
      <c r="O127" s="54">
        <v>1</v>
      </c>
      <c r="P127" s="54">
        <v>0</v>
      </c>
      <c r="Q127" s="66" t="s">
        <v>1371</v>
      </c>
    </row>
    <row r="128" spans="1:17" x14ac:dyDescent="0.25">
      <c r="A128" s="66">
        <v>125</v>
      </c>
      <c r="B128" s="490"/>
      <c r="C128" s="522"/>
      <c r="D128" s="445"/>
      <c r="E128" s="464"/>
      <c r="F128" s="496"/>
      <c r="G128" s="496"/>
      <c r="H128" s="466"/>
      <c r="I128" s="54">
        <v>1</v>
      </c>
      <c r="J128" s="54" t="s">
        <v>838</v>
      </c>
      <c r="K128" s="54" t="s">
        <v>417</v>
      </c>
      <c r="L128" s="342" t="s">
        <v>1812</v>
      </c>
      <c r="M128" s="54" t="s">
        <v>873</v>
      </c>
      <c r="N128" s="54">
        <v>1</v>
      </c>
      <c r="O128" s="54">
        <v>1</v>
      </c>
      <c r="P128" s="54">
        <v>0</v>
      </c>
      <c r="Q128" s="66" t="s">
        <v>1371</v>
      </c>
    </row>
    <row r="129" spans="1:17" x14ac:dyDescent="0.25">
      <c r="A129" s="66">
        <v>126</v>
      </c>
      <c r="B129" s="490"/>
      <c r="C129" s="522"/>
      <c r="D129" s="445"/>
      <c r="E129" s="464"/>
      <c r="F129" s="496"/>
      <c r="G129" s="496"/>
      <c r="H129" s="466"/>
      <c r="I129" s="54">
        <v>1</v>
      </c>
      <c r="J129" s="54" t="s">
        <v>838</v>
      </c>
      <c r="K129" s="54" t="s">
        <v>418</v>
      </c>
      <c r="L129" s="342" t="s">
        <v>1813</v>
      </c>
      <c r="M129" s="54" t="s">
        <v>873</v>
      </c>
      <c r="N129" s="54">
        <v>1</v>
      </c>
      <c r="O129" s="54">
        <v>1</v>
      </c>
      <c r="P129" s="54">
        <v>0</v>
      </c>
      <c r="Q129" s="66" t="s">
        <v>1371</v>
      </c>
    </row>
    <row r="130" spans="1:17" x14ac:dyDescent="0.25">
      <c r="A130" s="66">
        <v>127</v>
      </c>
      <c r="B130" s="490"/>
      <c r="C130" s="522"/>
      <c r="D130" s="445"/>
      <c r="E130" s="464"/>
      <c r="F130" s="496"/>
      <c r="G130" s="496"/>
      <c r="H130" s="466"/>
      <c r="I130" s="54">
        <v>1</v>
      </c>
      <c r="J130" s="54" t="s">
        <v>838</v>
      </c>
      <c r="K130" s="54" t="s">
        <v>419</v>
      </c>
      <c r="L130" s="342" t="s">
        <v>1814</v>
      </c>
      <c r="M130" s="54" t="s">
        <v>873</v>
      </c>
      <c r="N130" s="54">
        <v>1</v>
      </c>
      <c r="O130" s="54">
        <v>1</v>
      </c>
      <c r="P130" s="54">
        <v>0</v>
      </c>
      <c r="Q130" s="66" t="s">
        <v>1371</v>
      </c>
    </row>
    <row r="131" spans="1:17" x14ac:dyDescent="0.25">
      <c r="A131" s="66">
        <v>128</v>
      </c>
      <c r="B131" s="490"/>
      <c r="C131" s="522"/>
      <c r="D131" s="445"/>
      <c r="E131" s="464"/>
      <c r="F131" s="496"/>
      <c r="G131" s="496"/>
      <c r="H131" s="466"/>
      <c r="I131" s="54">
        <v>1</v>
      </c>
      <c r="J131" s="54" t="s">
        <v>838</v>
      </c>
      <c r="K131" s="54" t="s">
        <v>420</v>
      </c>
      <c r="L131" s="342" t="s">
        <v>1815</v>
      </c>
      <c r="M131" s="54" t="s">
        <v>873</v>
      </c>
      <c r="N131" s="54">
        <v>1</v>
      </c>
      <c r="O131" s="54">
        <v>1</v>
      </c>
      <c r="P131" s="54">
        <v>0</v>
      </c>
      <c r="Q131" s="66" t="s">
        <v>1371</v>
      </c>
    </row>
    <row r="132" spans="1:17" x14ac:dyDescent="0.25">
      <c r="A132" s="66">
        <v>129</v>
      </c>
      <c r="B132" s="490"/>
      <c r="C132" s="522"/>
      <c r="D132" s="445"/>
      <c r="E132" s="464"/>
      <c r="F132" s="496"/>
      <c r="G132" s="496"/>
      <c r="H132" s="466"/>
      <c r="I132" s="54">
        <v>1</v>
      </c>
      <c r="J132" s="54" t="s">
        <v>838</v>
      </c>
      <c r="K132" s="54" t="s">
        <v>421</v>
      </c>
      <c r="L132" s="334" t="s">
        <v>1816</v>
      </c>
      <c r="M132" s="54" t="s">
        <v>873</v>
      </c>
      <c r="N132" s="54">
        <v>1</v>
      </c>
      <c r="O132" s="54">
        <v>1</v>
      </c>
      <c r="P132" s="54">
        <v>0</v>
      </c>
      <c r="Q132" s="66" t="s">
        <v>1371</v>
      </c>
    </row>
    <row r="133" spans="1:17" x14ac:dyDescent="0.25">
      <c r="A133" s="66">
        <v>130</v>
      </c>
      <c r="B133" s="490"/>
      <c r="C133" s="522"/>
      <c r="D133" s="445"/>
      <c r="E133" s="464"/>
      <c r="F133" s="496"/>
      <c r="G133" s="496"/>
      <c r="H133" s="466"/>
      <c r="I133" s="54">
        <v>1</v>
      </c>
      <c r="J133" s="54" t="s">
        <v>838</v>
      </c>
      <c r="K133" s="54" t="s">
        <v>422</v>
      </c>
      <c r="L133" s="334" t="s">
        <v>1817</v>
      </c>
      <c r="M133" s="54" t="s">
        <v>873</v>
      </c>
      <c r="N133" s="54">
        <v>1</v>
      </c>
      <c r="O133" s="54">
        <v>1</v>
      </c>
      <c r="P133" s="54">
        <v>0</v>
      </c>
      <c r="Q133" s="66" t="s">
        <v>1371</v>
      </c>
    </row>
    <row r="134" spans="1:17" x14ac:dyDescent="0.25">
      <c r="A134" s="66">
        <v>131</v>
      </c>
      <c r="B134" s="490"/>
      <c r="C134" s="522"/>
      <c r="D134" s="445"/>
      <c r="E134" s="464"/>
      <c r="F134" s="496"/>
      <c r="G134" s="496"/>
      <c r="H134" s="466"/>
      <c r="I134" s="54">
        <v>1</v>
      </c>
      <c r="J134" s="54" t="s">
        <v>838</v>
      </c>
      <c r="K134" s="54" t="s">
        <v>423</v>
      </c>
      <c r="L134" s="342" t="s">
        <v>1818</v>
      </c>
      <c r="M134" s="54" t="s">
        <v>873</v>
      </c>
      <c r="N134" s="54">
        <v>1</v>
      </c>
      <c r="O134" s="54">
        <v>1</v>
      </c>
      <c r="P134" s="54">
        <v>0</v>
      </c>
      <c r="Q134" s="66" t="s">
        <v>1371</v>
      </c>
    </row>
    <row r="135" spans="1:17" x14ac:dyDescent="0.25">
      <c r="A135" s="66">
        <v>132</v>
      </c>
      <c r="B135" s="490"/>
      <c r="C135" s="523"/>
      <c r="D135" s="446"/>
      <c r="E135" s="464"/>
      <c r="F135" s="496"/>
      <c r="G135" s="496"/>
      <c r="H135" s="466"/>
      <c r="I135" s="54">
        <v>1</v>
      </c>
      <c r="J135" s="54" t="s">
        <v>838</v>
      </c>
      <c r="K135" s="54" t="s">
        <v>424</v>
      </c>
      <c r="L135" s="342" t="s">
        <v>1819</v>
      </c>
      <c r="M135" s="54" t="s">
        <v>873</v>
      </c>
      <c r="N135" s="54">
        <v>1</v>
      </c>
      <c r="O135" s="54">
        <v>1</v>
      </c>
      <c r="P135" s="54">
        <v>0</v>
      </c>
      <c r="Q135" s="66" t="s">
        <v>1371</v>
      </c>
    </row>
    <row r="136" spans="1:17" ht="37.5" x14ac:dyDescent="0.25">
      <c r="A136" s="66">
        <v>133</v>
      </c>
      <c r="B136" s="490"/>
      <c r="C136" s="431" t="s">
        <v>410</v>
      </c>
      <c r="D136" s="444">
        <v>4</v>
      </c>
      <c r="E136" s="464"/>
      <c r="F136" s="496"/>
      <c r="G136" s="496"/>
      <c r="H136" s="466"/>
      <c r="I136" s="54">
        <v>1</v>
      </c>
      <c r="J136" s="54" t="s">
        <v>837</v>
      </c>
      <c r="K136" s="54" t="s">
        <v>425</v>
      </c>
      <c r="L136" s="334" t="s">
        <v>1820</v>
      </c>
      <c r="M136" s="54" t="s">
        <v>873</v>
      </c>
      <c r="N136" s="54">
        <v>1</v>
      </c>
      <c r="O136" s="54">
        <v>1</v>
      </c>
      <c r="P136" s="54">
        <v>0</v>
      </c>
      <c r="Q136" s="66" t="s">
        <v>1371</v>
      </c>
    </row>
    <row r="137" spans="1:17" ht="37.5" x14ac:dyDescent="0.25">
      <c r="A137" s="66">
        <v>134</v>
      </c>
      <c r="B137" s="490"/>
      <c r="C137" s="432"/>
      <c r="D137" s="445"/>
      <c r="E137" s="464"/>
      <c r="F137" s="496"/>
      <c r="G137" s="496"/>
      <c r="H137" s="466"/>
      <c r="I137" s="54">
        <v>1</v>
      </c>
      <c r="J137" s="54" t="s">
        <v>837</v>
      </c>
      <c r="K137" s="54" t="s">
        <v>426</v>
      </c>
      <c r="L137" s="342" t="s">
        <v>1821</v>
      </c>
      <c r="M137" s="54" t="s">
        <v>873</v>
      </c>
      <c r="N137" s="54">
        <v>1</v>
      </c>
      <c r="O137" s="54">
        <v>1</v>
      </c>
      <c r="P137" s="54">
        <v>0</v>
      </c>
      <c r="Q137" s="66" t="s">
        <v>1371</v>
      </c>
    </row>
    <row r="138" spans="1:17" ht="37.5" x14ac:dyDescent="0.25">
      <c r="A138" s="66">
        <v>135</v>
      </c>
      <c r="B138" s="490"/>
      <c r="C138" s="432"/>
      <c r="D138" s="445"/>
      <c r="E138" s="464"/>
      <c r="F138" s="496"/>
      <c r="G138" s="496"/>
      <c r="H138" s="466"/>
      <c r="I138" s="54">
        <v>1</v>
      </c>
      <c r="J138" s="54" t="s">
        <v>837</v>
      </c>
      <c r="K138" s="54" t="s">
        <v>427</v>
      </c>
      <c r="L138" s="342" t="s">
        <v>1822</v>
      </c>
      <c r="M138" s="54" t="s">
        <v>873</v>
      </c>
      <c r="N138" s="54">
        <v>1</v>
      </c>
      <c r="O138" s="54">
        <v>1</v>
      </c>
      <c r="P138" s="54">
        <v>0</v>
      </c>
      <c r="Q138" s="66" t="s">
        <v>1371</v>
      </c>
    </row>
    <row r="139" spans="1:17" ht="37.5" x14ac:dyDescent="0.25">
      <c r="A139" s="66">
        <v>136</v>
      </c>
      <c r="B139" s="491"/>
      <c r="C139" s="433"/>
      <c r="D139" s="446"/>
      <c r="E139" s="464"/>
      <c r="F139" s="496"/>
      <c r="G139" s="496"/>
      <c r="H139" s="466"/>
      <c r="I139" s="54">
        <v>1</v>
      </c>
      <c r="J139" s="54" t="s">
        <v>837</v>
      </c>
      <c r="K139" s="54" t="s">
        <v>428</v>
      </c>
      <c r="L139" s="334" t="s">
        <v>1823</v>
      </c>
      <c r="M139" s="54" t="s">
        <v>873</v>
      </c>
      <c r="N139" s="54">
        <v>1</v>
      </c>
      <c r="O139" s="54">
        <v>1</v>
      </c>
      <c r="P139" s="54">
        <v>0</v>
      </c>
      <c r="Q139" s="66" t="s">
        <v>1371</v>
      </c>
    </row>
    <row r="140" spans="1:17" x14ac:dyDescent="0.25">
      <c r="A140" s="66">
        <v>137</v>
      </c>
      <c r="B140" s="66"/>
      <c r="C140" s="431" t="s">
        <v>411</v>
      </c>
      <c r="D140" s="444">
        <v>2</v>
      </c>
      <c r="E140" s="464"/>
      <c r="F140" s="496"/>
      <c r="G140" s="496"/>
      <c r="H140" s="466"/>
      <c r="I140" s="54">
        <v>1</v>
      </c>
      <c r="J140" s="54" t="s">
        <v>838</v>
      </c>
      <c r="K140" s="54" t="s">
        <v>429</v>
      </c>
      <c r="L140" s="342" t="s">
        <v>1824</v>
      </c>
      <c r="M140" s="54" t="s">
        <v>873</v>
      </c>
      <c r="N140" s="54">
        <v>1</v>
      </c>
      <c r="O140" s="54">
        <v>1</v>
      </c>
      <c r="P140" s="54">
        <v>0</v>
      </c>
      <c r="Q140" s="66" t="s">
        <v>1371</v>
      </c>
    </row>
    <row r="141" spans="1:17" ht="37.5" x14ac:dyDescent="0.25">
      <c r="A141" s="66">
        <v>138</v>
      </c>
      <c r="B141" s="66"/>
      <c r="C141" s="433"/>
      <c r="D141" s="446"/>
      <c r="E141" s="464"/>
      <c r="F141" s="496"/>
      <c r="G141" s="496"/>
      <c r="H141" s="466"/>
      <c r="I141" s="54">
        <v>1</v>
      </c>
      <c r="J141" s="54" t="s">
        <v>837</v>
      </c>
      <c r="K141" s="54" t="s">
        <v>430</v>
      </c>
      <c r="L141" s="342" t="s">
        <v>1825</v>
      </c>
      <c r="M141" s="54" t="s">
        <v>873</v>
      </c>
      <c r="N141" s="54">
        <v>1</v>
      </c>
      <c r="O141" s="54">
        <v>1</v>
      </c>
      <c r="P141" s="54">
        <v>0</v>
      </c>
      <c r="Q141" s="66" t="s">
        <v>1371</v>
      </c>
    </row>
    <row r="142" spans="1:17" x14ac:dyDescent="0.25">
      <c r="A142" s="66">
        <v>139</v>
      </c>
      <c r="B142" s="529" t="s">
        <v>484</v>
      </c>
      <c r="C142" s="431" t="s">
        <v>412</v>
      </c>
      <c r="D142" s="444">
        <v>2</v>
      </c>
      <c r="E142" s="464"/>
      <c r="F142" s="496"/>
      <c r="G142" s="496"/>
      <c r="H142" s="466"/>
      <c r="I142" s="54">
        <v>1</v>
      </c>
      <c r="J142" s="54" t="s">
        <v>838</v>
      </c>
      <c r="K142" s="54" t="s">
        <v>431</v>
      </c>
      <c r="L142" s="342" t="s">
        <v>1953</v>
      </c>
      <c r="M142" s="54" t="s">
        <v>873</v>
      </c>
      <c r="N142" s="54">
        <v>1</v>
      </c>
      <c r="O142" s="54">
        <v>1</v>
      </c>
      <c r="P142" s="54">
        <v>0</v>
      </c>
      <c r="Q142" s="66" t="s">
        <v>1371</v>
      </c>
    </row>
    <row r="143" spans="1:17" ht="37.5" x14ac:dyDescent="0.25">
      <c r="A143" s="66">
        <v>140</v>
      </c>
      <c r="B143" s="530"/>
      <c r="C143" s="433"/>
      <c r="D143" s="446"/>
      <c r="E143" s="464"/>
      <c r="F143" s="496"/>
      <c r="G143" s="496"/>
      <c r="H143" s="466"/>
      <c r="I143" s="54">
        <v>1</v>
      </c>
      <c r="J143" s="54" t="s">
        <v>837</v>
      </c>
      <c r="K143" s="54" t="s">
        <v>432</v>
      </c>
      <c r="L143" s="342" t="s">
        <v>1954</v>
      </c>
      <c r="M143" s="54" t="s">
        <v>873</v>
      </c>
      <c r="N143" s="54">
        <v>1</v>
      </c>
      <c r="O143" s="54">
        <v>1</v>
      </c>
      <c r="P143" s="54">
        <v>0</v>
      </c>
      <c r="Q143" s="66" t="s">
        <v>1371</v>
      </c>
    </row>
    <row r="144" spans="1:17" x14ac:dyDescent="0.25">
      <c r="A144" s="66">
        <v>141</v>
      </c>
      <c r="B144" s="530"/>
      <c r="C144" s="431" t="s">
        <v>433</v>
      </c>
      <c r="D144" s="444">
        <v>2</v>
      </c>
      <c r="E144" s="89">
        <v>2017</v>
      </c>
      <c r="F144" s="66" t="s">
        <v>102</v>
      </c>
      <c r="G144" s="54" t="s">
        <v>221</v>
      </c>
      <c r="H144" s="62">
        <v>43200</v>
      </c>
      <c r="I144" s="54">
        <v>1</v>
      </c>
      <c r="J144" s="54" t="s">
        <v>852</v>
      </c>
      <c r="K144" s="54" t="s">
        <v>435</v>
      </c>
      <c r="L144" s="226" t="s">
        <v>2047</v>
      </c>
      <c r="M144" s="54" t="s">
        <v>873</v>
      </c>
      <c r="N144" s="54">
        <v>1</v>
      </c>
      <c r="O144" s="54">
        <v>1</v>
      </c>
      <c r="P144" s="54">
        <v>0</v>
      </c>
      <c r="Q144" s="66" t="s">
        <v>1371</v>
      </c>
    </row>
    <row r="145" spans="1:17" x14ac:dyDescent="0.25">
      <c r="A145" s="66">
        <v>142</v>
      </c>
      <c r="B145" s="531"/>
      <c r="C145" s="433"/>
      <c r="D145" s="446"/>
      <c r="E145" s="89">
        <v>2017</v>
      </c>
      <c r="F145" s="66" t="s">
        <v>434</v>
      </c>
      <c r="G145" s="54" t="s">
        <v>221</v>
      </c>
      <c r="H145" s="62">
        <v>43200</v>
      </c>
      <c r="I145" s="54">
        <v>1</v>
      </c>
      <c r="J145" s="54" t="s">
        <v>852</v>
      </c>
      <c r="K145" s="54" t="s">
        <v>436</v>
      </c>
      <c r="L145" s="226" t="s">
        <v>2048</v>
      </c>
      <c r="M145" s="54" t="s">
        <v>873</v>
      </c>
      <c r="N145" s="54">
        <v>1</v>
      </c>
      <c r="O145" s="54">
        <v>1</v>
      </c>
      <c r="P145" s="54">
        <v>0</v>
      </c>
      <c r="Q145" s="66" t="s">
        <v>1371</v>
      </c>
    </row>
    <row r="146" spans="1:17" x14ac:dyDescent="0.25">
      <c r="A146" s="66">
        <v>143</v>
      </c>
      <c r="B146" s="444"/>
      <c r="C146" s="431" t="s">
        <v>444</v>
      </c>
      <c r="D146" s="444">
        <v>2</v>
      </c>
      <c r="E146" s="89">
        <v>2017</v>
      </c>
      <c r="F146" s="66" t="s">
        <v>278</v>
      </c>
      <c r="G146" s="54" t="s">
        <v>221</v>
      </c>
      <c r="H146" s="532">
        <v>170000</v>
      </c>
      <c r="I146" s="54">
        <v>1</v>
      </c>
      <c r="J146" s="54" t="s">
        <v>852</v>
      </c>
      <c r="K146" s="54">
        <v>4357021</v>
      </c>
      <c r="L146" s="226" t="s">
        <v>2043</v>
      </c>
      <c r="M146" s="54" t="s">
        <v>873</v>
      </c>
      <c r="N146" s="54">
        <v>1</v>
      </c>
      <c r="O146" s="54">
        <v>1</v>
      </c>
      <c r="P146" s="54">
        <v>0</v>
      </c>
      <c r="Q146" s="66" t="s">
        <v>1371</v>
      </c>
    </row>
    <row r="147" spans="1:17" x14ac:dyDescent="0.25">
      <c r="A147" s="66">
        <v>144</v>
      </c>
      <c r="B147" s="446"/>
      <c r="C147" s="433"/>
      <c r="D147" s="446"/>
      <c r="E147" s="89">
        <v>2017</v>
      </c>
      <c r="F147" s="66" t="s">
        <v>278</v>
      </c>
      <c r="G147" s="54" t="s">
        <v>221</v>
      </c>
      <c r="H147" s="532"/>
      <c r="I147" s="54">
        <v>1</v>
      </c>
      <c r="J147" s="54" t="s">
        <v>852</v>
      </c>
      <c r="K147" s="54">
        <v>4357020</v>
      </c>
      <c r="L147" s="226" t="s">
        <v>2042</v>
      </c>
      <c r="M147" s="54" t="s">
        <v>873</v>
      </c>
      <c r="N147" s="54">
        <v>1</v>
      </c>
      <c r="O147" s="54">
        <v>1</v>
      </c>
      <c r="P147" s="54">
        <v>0</v>
      </c>
      <c r="Q147" s="66" t="s">
        <v>1371</v>
      </c>
    </row>
    <row r="148" spans="1:17" x14ac:dyDescent="0.25">
      <c r="A148" s="66">
        <v>145</v>
      </c>
      <c r="B148" s="444"/>
      <c r="C148" s="431" t="s">
        <v>445</v>
      </c>
      <c r="D148" s="444">
        <v>2</v>
      </c>
      <c r="E148" s="89">
        <v>2017</v>
      </c>
      <c r="F148" s="66" t="s">
        <v>278</v>
      </c>
      <c r="G148" s="54" t="s">
        <v>221</v>
      </c>
      <c r="H148" s="533">
        <v>33000</v>
      </c>
      <c r="I148" s="89">
        <v>1</v>
      </c>
      <c r="J148" s="89" t="s">
        <v>852</v>
      </c>
      <c r="K148" s="89">
        <v>7206483</v>
      </c>
      <c r="L148" s="226" t="s">
        <v>2041</v>
      </c>
      <c r="M148" s="54" t="s">
        <v>873</v>
      </c>
      <c r="N148" s="89">
        <v>1</v>
      </c>
      <c r="O148" s="89">
        <v>1</v>
      </c>
      <c r="P148" s="66">
        <v>0</v>
      </c>
      <c r="Q148" s="66" t="s">
        <v>1371</v>
      </c>
    </row>
    <row r="149" spans="1:17" ht="37.5" x14ac:dyDescent="0.25">
      <c r="A149" s="66">
        <v>146</v>
      </c>
      <c r="B149" s="446"/>
      <c r="C149" s="433"/>
      <c r="D149" s="446"/>
      <c r="E149" s="89">
        <v>2017</v>
      </c>
      <c r="F149" s="66" t="s">
        <v>278</v>
      </c>
      <c r="G149" s="54" t="s">
        <v>221</v>
      </c>
      <c r="H149" s="533"/>
      <c r="I149" s="89">
        <v>1</v>
      </c>
      <c r="J149" s="89" t="s">
        <v>852</v>
      </c>
      <c r="K149" s="89">
        <v>4273556</v>
      </c>
      <c r="L149" s="226" t="s">
        <v>2040</v>
      </c>
      <c r="M149" s="54" t="s">
        <v>873</v>
      </c>
      <c r="N149" s="89">
        <v>1</v>
      </c>
      <c r="O149" s="89">
        <v>1</v>
      </c>
      <c r="P149" s="66">
        <v>0</v>
      </c>
      <c r="Q149" s="66" t="s">
        <v>1371</v>
      </c>
    </row>
    <row r="150" spans="1:17" ht="42.75" customHeight="1" x14ac:dyDescent="0.25">
      <c r="A150" s="66">
        <v>147</v>
      </c>
      <c r="B150" s="66"/>
      <c r="C150" s="89" t="s">
        <v>446</v>
      </c>
      <c r="D150" s="66">
        <v>96</v>
      </c>
      <c r="E150" s="89">
        <v>2017</v>
      </c>
      <c r="F150" s="66" t="s">
        <v>102</v>
      </c>
      <c r="G150" s="54" t="s">
        <v>221</v>
      </c>
      <c r="H150" s="124">
        <v>139408.69565217395</v>
      </c>
      <c r="I150" s="66">
        <v>96</v>
      </c>
      <c r="J150" s="89" t="s">
        <v>852</v>
      </c>
      <c r="K150" s="113" t="s">
        <v>221</v>
      </c>
      <c r="L150" s="226" t="s">
        <v>2038</v>
      </c>
      <c r="M150" s="54" t="s">
        <v>873</v>
      </c>
      <c r="N150" s="66">
        <v>96</v>
      </c>
      <c r="O150" s="66">
        <v>96</v>
      </c>
      <c r="P150" s="66">
        <v>0</v>
      </c>
      <c r="Q150" s="66" t="s">
        <v>1371</v>
      </c>
    </row>
    <row r="151" spans="1:17" x14ac:dyDescent="0.25">
      <c r="A151" s="66">
        <v>148</v>
      </c>
      <c r="B151" s="66"/>
      <c r="C151" s="113" t="s">
        <v>447</v>
      </c>
      <c r="D151" s="66">
        <v>26</v>
      </c>
      <c r="E151" s="89">
        <v>2017</v>
      </c>
      <c r="F151" s="66" t="s">
        <v>278</v>
      </c>
      <c r="G151" s="54" t="s">
        <v>221</v>
      </c>
      <c r="H151" s="114">
        <v>156000</v>
      </c>
      <c r="I151" s="66">
        <v>26</v>
      </c>
      <c r="J151" s="89" t="s">
        <v>852</v>
      </c>
      <c r="K151" s="89" t="s">
        <v>221</v>
      </c>
      <c r="L151" s="226" t="s">
        <v>2035</v>
      </c>
      <c r="M151" s="54" t="s">
        <v>873</v>
      </c>
      <c r="N151" s="66">
        <v>26</v>
      </c>
      <c r="O151" s="66">
        <v>26</v>
      </c>
      <c r="P151" s="66">
        <v>0</v>
      </c>
      <c r="Q151" s="66" t="s">
        <v>1371</v>
      </c>
    </row>
    <row r="152" spans="1:17" ht="70.5" customHeight="1" x14ac:dyDescent="0.25">
      <c r="A152" s="66">
        <v>149</v>
      </c>
      <c r="B152" s="66"/>
      <c r="C152" s="113" t="s">
        <v>448</v>
      </c>
      <c r="D152" s="66">
        <v>4</v>
      </c>
      <c r="E152" s="89">
        <v>2017</v>
      </c>
      <c r="F152" s="66" t="s">
        <v>278</v>
      </c>
      <c r="G152" s="54" t="s">
        <v>221</v>
      </c>
      <c r="H152" s="114">
        <v>74000</v>
      </c>
      <c r="I152" s="89">
        <v>4</v>
      </c>
      <c r="J152" s="89" t="s">
        <v>852</v>
      </c>
      <c r="K152" s="89" t="s">
        <v>2034</v>
      </c>
      <c r="L152" s="226" t="s">
        <v>2033</v>
      </c>
      <c r="M152" s="54" t="s">
        <v>873</v>
      </c>
      <c r="N152" s="89">
        <v>4</v>
      </c>
      <c r="O152" s="89">
        <v>4</v>
      </c>
      <c r="P152" s="66">
        <v>0</v>
      </c>
      <c r="Q152" s="66" t="s">
        <v>1371</v>
      </c>
    </row>
    <row r="153" spans="1:17" x14ac:dyDescent="0.25">
      <c r="A153" s="66">
        <v>150</v>
      </c>
      <c r="B153" s="554" t="s">
        <v>518</v>
      </c>
      <c r="C153" s="526" t="s">
        <v>519</v>
      </c>
      <c r="D153" s="444">
        <v>4</v>
      </c>
      <c r="E153" s="495">
        <v>2017</v>
      </c>
      <c r="F153" s="66" t="s">
        <v>278</v>
      </c>
      <c r="G153" s="54" t="s">
        <v>221</v>
      </c>
      <c r="H153" s="468">
        <v>788705</v>
      </c>
      <c r="I153" s="89">
        <v>1</v>
      </c>
      <c r="J153" s="89" t="s">
        <v>852</v>
      </c>
      <c r="K153" s="89" t="s">
        <v>449</v>
      </c>
      <c r="L153" s="226" t="s">
        <v>2001</v>
      </c>
      <c r="M153" s="54" t="s">
        <v>873</v>
      </c>
      <c r="N153" s="89">
        <v>1</v>
      </c>
      <c r="O153" s="89">
        <v>1</v>
      </c>
      <c r="P153" s="66">
        <v>0</v>
      </c>
      <c r="Q153" s="66" t="s">
        <v>1371</v>
      </c>
    </row>
    <row r="154" spans="1:17" x14ac:dyDescent="0.25">
      <c r="A154" s="66">
        <v>151</v>
      </c>
      <c r="B154" s="555"/>
      <c r="C154" s="527"/>
      <c r="D154" s="445"/>
      <c r="E154" s="495"/>
      <c r="F154" s="66" t="s">
        <v>278</v>
      </c>
      <c r="G154" s="54" t="s">
        <v>221</v>
      </c>
      <c r="H154" s="468"/>
      <c r="I154" s="89">
        <v>1</v>
      </c>
      <c r="J154" s="89" t="s">
        <v>852</v>
      </c>
      <c r="K154" s="89" t="s">
        <v>450</v>
      </c>
      <c r="L154" s="226" t="s">
        <v>2002</v>
      </c>
      <c r="M154" s="54" t="s">
        <v>873</v>
      </c>
      <c r="N154" s="89">
        <v>1</v>
      </c>
      <c r="O154" s="89">
        <v>1</v>
      </c>
      <c r="P154" s="66">
        <v>0</v>
      </c>
      <c r="Q154" s="66" t="s">
        <v>1371</v>
      </c>
    </row>
    <row r="155" spans="1:17" x14ac:dyDescent="0.25">
      <c r="A155" s="66">
        <v>152</v>
      </c>
      <c r="B155" s="555"/>
      <c r="C155" s="527"/>
      <c r="D155" s="445"/>
      <c r="E155" s="495"/>
      <c r="F155" s="66" t="s">
        <v>278</v>
      </c>
      <c r="G155" s="54" t="s">
        <v>221</v>
      </c>
      <c r="H155" s="468"/>
      <c r="I155" s="89">
        <v>1</v>
      </c>
      <c r="J155" s="89" t="s">
        <v>852</v>
      </c>
      <c r="K155" s="89" t="s">
        <v>451</v>
      </c>
      <c r="L155" s="226" t="s">
        <v>2003</v>
      </c>
      <c r="M155" s="54" t="s">
        <v>873</v>
      </c>
      <c r="N155" s="89">
        <v>1</v>
      </c>
      <c r="O155" s="89">
        <v>1</v>
      </c>
      <c r="P155" s="66">
        <v>0</v>
      </c>
      <c r="Q155" s="66" t="s">
        <v>1371</v>
      </c>
    </row>
    <row r="156" spans="1:17" x14ac:dyDescent="0.25">
      <c r="A156" s="66">
        <v>153</v>
      </c>
      <c r="B156" s="556"/>
      <c r="C156" s="528"/>
      <c r="D156" s="446"/>
      <c r="E156" s="495"/>
      <c r="F156" s="66" t="s">
        <v>278</v>
      </c>
      <c r="G156" s="54" t="s">
        <v>221</v>
      </c>
      <c r="H156" s="468"/>
      <c r="I156" s="89">
        <v>1</v>
      </c>
      <c r="J156" s="89" t="s">
        <v>852</v>
      </c>
      <c r="K156" s="89" t="s">
        <v>452</v>
      </c>
      <c r="L156" s="226" t="s">
        <v>2004</v>
      </c>
      <c r="M156" s="54" t="s">
        <v>873</v>
      </c>
      <c r="N156" s="89">
        <v>1</v>
      </c>
      <c r="O156" s="89">
        <v>1</v>
      </c>
      <c r="P156" s="66">
        <v>0</v>
      </c>
      <c r="Q156" s="66" t="s">
        <v>1371</v>
      </c>
    </row>
    <row r="157" spans="1:17" x14ac:dyDescent="0.25">
      <c r="A157" s="66">
        <v>154</v>
      </c>
      <c r="B157" s="441" t="s">
        <v>679</v>
      </c>
      <c r="C157" s="89" t="s">
        <v>453</v>
      </c>
      <c r="D157" s="66">
        <v>1</v>
      </c>
      <c r="E157" s="495">
        <v>2017</v>
      </c>
      <c r="F157" s="66" t="s">
        <v>278</v>
      </c>
      <c r="G157" s="54" t="s">
        <v>221</v>
      </c>
      <c r="H157" s="114">
        <v>235463</v>
      </c>
      <c r="I157" s="89">
        <v>1</v>
      </c>
      <c r="J157" s="89" t="s">
        <v>852</v>
      </c>
      <c r="K157" s="115" t="s">
        <v>221</v>
      </c>
      <c r="L157" s="226" t="s">
        <v>2005</v>
      </c>
      <c r="M157" s="54" t="s">
        <v>873</v>
      </c>
      <c r="N157" s="89">
        <v>1</v>
      </c>
      <c r="O157" s="89">
        <v>1</v>
      </c>
      <c r="P157" s="66">
        <v>0</v>
      </c>
      <c r="Q157" s="66" t="s">
        <v>1371</v>
      </c>
    </row>
    <row r="158" spans="1:17" x14ac:dyDescent="0.25">
      <c r="A158" s="66">
        <v>155</v>
      </c>
      <c r="B158" s="443"/>
      <c r="C158" s="116" t="s">
        <v>454</v>
      </c>
      <c r="D158" s="66">
        <v>1</v>
      </c>
      <c r="E158" s="495"/>
      <c r="F158" s="66" t="s">
        <v>278</v>
      </c>
      <c r="G158" s="54" t="s">
        <v>221</v>
      </c>
      <c r="H158" s="114">
        <v>213210</v>
      </c>
      <c r="I158" s="89">
        <v>1</v>
      </c>
      <c r="J158" s="89" t="s">
        <v>852</v>
      </c>
      <c r="K158" s="115" t="s">
        <v>221</v>
      </c>
      <c r="L158" s="226" t="s">
        <v>2006</v>
      </c>
      <c r="M158" s="54" t="s">
        <v>873</v>
      </c>
      <c r="N158" s="89">
        <v>1</v>
      </c>
      <c r="O158" s="89">
        <v>1</v>
      </c>
      <c r="P158" s="66">
        <v>0</v>
      </c>
      <c r="Q158" s="66" t="s">
        <v>1371</v>
      </c>
    </row>
    <row r="159" spans="1:17" x14ac:dyDescent="0.25">
      <c r="A159" s="66">
        <v>156</v>
      </c>
      <c r="B159" s="66"/>
      <c r="C159" s="89" t="s">
        <v>455</v>
      </c>
      <c r="D159" s="66">
        <v>1</v>
      </c>
      <c r="E159" s="89">
        <v>2017</v>
      </c>
      <c r="F159" s="66" t="s">
        <v>278</v>
      </c>
      <c r="G159" s="54" t="s">
        <v>221</v>
      </c>
      <c r="H159" s="114">
        <v>712639.95</v>
      </c>
      <c r="I159" s="89">
        <v>1</v>
      </c>
      <c r="J159" s="89" t="s">
        <v>852</v>
      </c>
      <c r="K159" s="89" t="s">
        <v>457</v>
      </c>
      <c r="L159" s="226" t="s">
        <v>2036</v>
      </c>
      <c r="M159" s="54" t="s">
        <v>873</v>
      </c>
      <c r="N159" s="89">
        <v>1</v>
      </c>
      <c r="O159" s="89">
        <v>1</v>
      </c>
      <c r="P159" s="66">
        <v>0</v>
      </c>
      <c r="Q159" s="66" t="s">
        <v>1371</v>
      </c>
    </row>
    <row r="160" spans="1:17" x14ac:dyDescent="0.25">
      <c r="A160" s="66">
        <v>157</v>
      </c>
      <c r="B160" s="66"/>
      <c r="C160" s="89" t="s">
        <v>456</v>
      </c>
      <c r="D160" s="66">
        <v>1</v>
      </c>
      <c r="E160" s="89">
        <v>2017</v>
      </c>
      <c r="F160" s="66" t="s">
        <v>278</v>
      </c>
      <c r="G160" s="54" t="s">
        <v>221</v>
      </c>
      <c r="H160" s="114">
        <v>648493</v>
      </c>
      <c r="I160" s="89">
        <v>1</v>
      </c>
      <c r="J160" s="89" t="s">
        <v>852</v>
      </c>
      <c r="K160" s="89" t="s">
        <v>458</v>
      </c>
      <c r="L160" s="226" t="s">
        <v>2037</v>
      </c>
      <c r="M160" s="54" t="s">
        <v>873</v>
      </c>
      <c r="N160" s="89">
        <v>1</v>
      </c>
      <c r="O160" s="89">
        <v>1</v>
      </c>
      <c r="P160" s="66">
        <v>0</v>
      </c>
      <c r="Q160" s="66" t="s">
        <v>1371</v>
      </c>
    </row>
    <row r="161" spans="1:17" ht="37.5" x14ac:dyDescent="0.25">
      <c r="A161" s="66">
        <v>158</v>
      </c>
      <c r="B161" s="125"/>
      <c r="C161" s="117" t="s">
        <v>833</v>
      </c>
      <c r="D161" s="137">
        <v>1</v>
      </c>
      <c r="E161" s="89" t="s">
        <v>460</v>
      </c>
      <c r="F161" s="66" t="s">
        <v>278</v>
      </c>
      <c r="G161" s="54" t="s">
        <v>221</v>
      </c>
      <c r="H161" s="114">
        <v>112450</v>
      </c>
      <c r="I161" s="89">
        <v>1</v>
      </c>
      <c r="J161" s="89" t="s">
        <v>852</v>
      </c>
      <c r="K161" s="89" t="s">
        <v>221</v>
      </c>
      <c r="L161" s="226" t="s">
        <v>2000</v>
      </c>
      <c r="M161" s="54" t="s">
        <v>873</v>
      </c>
      <c r="N161" s="89">
        <v>1</v>
      </c>
      <c r="O161" s="89">
        <v>1</v>
      </c>
      <c r="P161" s="66">
        <v>0</v>
      </c>
      <c r="Q161" s="66" t="s">
        <v>1371</v>
      </c>
    </row>
    <row r="162" spans="1:17" x14ac:dyDescent="0.25">
      <c r="A162" s="66">
        <v>159</v>
      </c>
      <c r="B162" s="482" t="s">
        <v>678</v>
      </c>
      <c r="C162" s="509" t="s">
        <v>459</v>
      </c>
      <c r="D162" s="509">
        <v>2</v>
      </c>
      <c r="E162" s="431" t="s">
        <v>1076</v>
      </c>
      <c r="F162" s="444" t="s">
        <v>1075</v>
      </c>
      <c r="G162" s="54" t="s">
        <v>221</v>
      </c>
      <c r="H162" s="114">
        <v>25000</v>
      </c>
      <c r="I162" s="89">
        <v>1</v>
      </c>
      <c r="J162" s="89" t="s">
        <v>852</v>
      </c>
      <c r="K162" s="89" t="s">
        <v>461</v>
      </c>
      <c r="L162" s="334" t="s">
        <v>1892</v>
      </c>
      <c r="M162" s="54" t="s">
        <v>873</v>
      </c>
      <c r="N162" s="89">
        <v>1</v>
      </c>
      <c r="O162" s="89">
        <v>1</v>
      </c>
      <c r="P162" s="66">
        <v>0</v>
      </c>
      <c r="Q162" s="66" t="s">
        <v>1371</v>
      </c>
    </row>
    <row r="163" spans="1:17" x14ac:dyDescent="0.25">
      <c r="A163" s="66">
        <v>160</v>
      </c>
      <c r="B163" s="483"/>
      <c r="C163" s="511"/>
      <c r="D163" s="511"/>
      <c r="E163" s="433"/>
      <c r="F163" s="446"/>
      <c r="G163" s="54" t="s">
        <v>221</v>
      </c>
      <c r="H163" s="114">
        <v>25000</v>
      </c>
      <c r="I163" s="89">
        <v>1</v>
      </c>
      <c r="J163" s="89" t="s">
        <v>852</v>
      </c>
      <c r="K163" s="89" t="s">
        <v>462</v>
      </c>
      <c r="L163" s="342" t="s">
        <v>1893</v>
      </c>
      <c r="M163" s="54" t="s">
        <v>873</v>
      </c>
      <c r="N163" s="89">
        <v>1</v>
      </c>
      <c r="O163" s="89">
        <v>1</v>
      </c>
      <c r="P163" s="66">
        <v>0</v>
      </c>
      <c r="Q163" s="66" t="s">
        <v>1371</v>
      </c>
    </row>
    <row r="164" spans="1:17" ht="37.5" x14ac:dyDescent="0.25">
      <c r="A164" s="66">
        <v>161</v>
      </c>
      <c r="B164" s="483"/>
      <c r="C164" s="509" t="s">
        <v>463</v>
      </c>
      <c r="D164" s="509">
        <v>3</v>
      </c>
      <c r="E164" s="431" t="s">
        <v>464</v>
      </c>
      <c r="F164" s="496" t="s">
        <v>465</v>
      </c>
      <c r="G164" s="464" t="s">
        <v>466</v>
      </c>
      <c r="H164" s="114">
        <v>24350</v>
      </c>
      <c r="I164" s="89">
        <v>1</v>
      </c>
      <c r="J164" s="89" t="s">
        <v>837</v>
      </c>
      <c r="K164" s="89" t="s">
        <v>467</v>
      </c>
      <c r="L164" s="342" t="s">
        <v>1826</v>
      </c>
      <c r="M164" s="54" t="s">
        <v>873</v>
      </c>
      <c r="N164" s="89">
        <v>1</v>
      </c>
      <c r="O164" s="89">
        <v>1</v>
      </c>
      <c r="P164" s="66">
        <v>0</v>
      </c>
      <c r="Q164" s="66" t="s">
        <v>1371</v>
      </c>
    </row>
    <row r="165" spans="1:17" x14ac:dyDescent="0.25">
      <c r="A165" s="66">
        <v>162</v>
      </c>
      <c r="B165" s="483"/>
      <c r="C165" s="510"/>
      <c r="D165" s="510"/>
      <c r="E165" s="432"/>
      <c r="F165" s="496"/>
      <c r="G165" s="464"/>
      <c r="H165" s="114">
        <v>24350</v>
      </c>
      <c r="I165" s="89">
        <v>1</v>
      </c>
      <c r="J165" s="89" t="s">
        <v>838</v>
      </c>
      <c r="K165" s="89" t="s">
        <v>468</v>
      </c>
      <c r="L165" s="342" t="s">
        <v>1827</v>
      </c>
      <c r="M165" s="54" t="s">
        <v>873</v>
      </c>
      <c r="N165" s="89">
        <v>1</v>
      </c>
      <c r="O165" s="89">
        <v>1</v>
      </c>
      <c r="P165" s="66">
        <v>0</v>
      </c>
      <c r="Q165" s="66" t="s">
        <v>1371</v>
      </c>
    </row>
    <row r="166" spans="1:17" x14ac:dyDescent="0.25">
      <c r="A166" s="66">
        <v>163</v>
      </c>
      <c r="B166" s="484"/>
      <c r="C166" s="511"/>
      <c r="D166" s="511"/>
      <c r="E166" s="433"/>
      <c r="F166" s="496"/>
      <c r="G166" s="464"/>
      <c r="H166" s="114">
        <v>24350</v>
      </c>
      <c r="I166" s="89">
        <v>1</v>
      </c>
      <c r="J166" s="89" t="s">
        <v>852</v>
      </c>
      <c r="K166" s="89" t="s">
        <v>469</v>
      </c>
      <c r="L166" s="342" t="s">
        <v>1828</v>
      </c>
      <c r="M166" s="54" t="s">
        <v>873</v>
      </c>
      <c r="N166" s="89">
        <v>1</v>
      </c>
      <c r="O166" s="89">
        <v>1</v>
      </c>
      <c r="P166" s="66">
        <v>0</v>
      </c>
      <c r="Q166" s="66" t="s">
        <v>1371</v>
      </c>
    </row>
    <row r="167" spans="1:17" ht="56.25" x14ac:dyDescent="0.25">
      <c r="A167" s="66">
        <v>164</v>
      </c>
      <c r="B167" s="66"/>
      <c r="C167" s="89" t="s">
        <v>477</v>
      </c>
      <c r="D167" s="66">
        <v>1</v>
      </c>
      <c r="E167" s="89" t="s">
        <v>478</v>
      </c>
      <c r="F167" s="66" t="s">
        <v>479</v>
      </c>
      <c r="G167" s="54" t="s">
        <v>480</v>
      </c>
      <c r="H167" s="126">
        <v>603629</v>
      </c>
      <c r="I167" s="89">
        <v>1</v>
      </c>
      <c r="J167" s="89" t="s">
        <v>838</v>
      </c>
      <c r="K167" s="89" t="s">
        <v>481</v>
      </c>
      <c r="L167" s="342" t="s">
        <v>1894</v>
      </c>
      <c r="M167" s="54" t="s">
        <v>873</v>
      </c>
      <c r="N167" s="89">
        <v>1</v>
      </c>
      <c r="O167" s="89">
        <v>1</v>
      </c>
      <c r="P167" s="66">
        <v>0</v>
      </c>
      <c r="Q167" s="66" t="s">
        <v>1371</v>
      </c>
    </row>
    <row r="168" spans="1:17" ht="112.5" x14ac:dyDescent="0.3">
      <c r="A168" s="66">
        <v>165</v>
      </c>
      <c r="B168" s="66"/>
      <c r="C168" s="112" t="s">
        <v>472</v>
      </c>
      <c r="D168" s="66">
        <v>6</v>
      </c>
      <c r="E168" s="89" t="s">
        <v>473</v>
      </c>
      <c r="F168" s="66" t="s">
        <v>474</v>
      </c>
      <c r="G168" s="54" t="s">
        <v>475</v>
      </c>
      <c r="H168" s="114">
        <v>461400</v>
      </c>
      <c r="I168" s="89">
        <v>6</v>
      </c>
      <c r="J168" s="89" t="s">
        <v>838</v>
      </c>
      <c r="K168" s="89" t="s">
        <v>476</v>
      </c>
      <c r="L168" s="348" t="s">
        <v>2086</v>
      </c>
      <c r="M168" s="54" t="s">
        <v>873</v>
      </c>
      <c r="N168" s="89">
        <v>6</v>
      </c>
      <c r="O168" s="89">
        <v>6</v>
      </c>
      <c r="P168" s="66">
        <v>0</v>
      </c>
      <c r="Q168" s="66" t="s">
        <v>1371</v>
      </c>
    </row>
    <row r="169" spans="1:17" x14ac:dyDescent="0.25">
      <c r="A169" s="66">
        <v>166</v>
      </c>
      <c r="B169" s="105"/>
      <c r="C169" s="464" t="s">
        <v>960</v>
      </c>
      <c r="D169" s="54">
        <v>1</v>
      </c>
      <c r="E169" s="464" t="s">
        <v>1218</v>
      </c>
      <c r="F169" s="464" t="s">
        <v>962</v>
      </c>
      <c r="G169" s="464" t="s">
        <v>1219</v>
      </c>
      <c r="H169" s="466">
        <v>21000</v>
      </c>
      <c r="I169" s="54">
        <v>1</v>
      </c>
      <c r="J169" s="54" t="s">
        <v>876</v>
      </c>
      <c r="K169" s="54" t="s">
        <v>1403</v>
      </c>
      <c r="L169" s="334" t="s">
        <v>1895</v>
      </c>
      <c r="M169" s="54" t="s">
        <v>878</v>
      </c>
      <c r="N169" s="54">
        <v>1</v>
      </c>
      <c r="O169" s="54">
        <v>1</v>
      </c>
      <c r="P169" s="54">
        <v>0</v>
      </c>
      <c r="Q169" s="66" t="s">
        <v>1371</v>
      </c>
    </row>
    <row r="170" spans="1:17" ht="37.5" x14ac:dyDescent="0.25">
      <c r="A170" s="66">
        <v>167</v>
      </c>
      <c r="B170" s="105"/>
      <c r="C170" s="464"/>
      <c r="D170" s="54">
        <v>1</v>
      </c>
      <c r="E170" s="464"/>
      <c r="F170" s="464"/>
      <c r="G170" s="464"/>
      <c r="H170" s="466"/>
      <c r="I170" s="54">
        <v>1</v>
      </c>
      <c r="J170" s="54" t="s">
        <v>1004</v>
      </c>
      <c r="K170" s="223" t="s">
        <v>2049</v>
      </c>
      <c r="L170" s="334" t="s">
        <v>1896</v>
      </c>
      <c r="M170" s="54"/>
      <c r="N170" s="54">
        <v>1</v>
      </c>
      <c r="O170" s="54">
        <v>1</v>
      </c>
      <c r="P170" s="54">
        <v>0</v>
      </c>
      <c r="Q170" s="66" t="s">
        <v>1371</v>
      </c>
    </row>
    <row r="171" spans="1:17" x14ac:dyDescent="0.25">
      <c r="A171" s="66">
        <v>168</v>
      </c>
      <c r="B171" s="105"/>
      <c r="C171" s="464"/>
      <c r="D171" s="54">
        <v>1</v>
      </c>
      <c r="E171" s="464"/>
      <c r="F171" s="464"/>
      <c r="G171" s="464"/>
      <c r="H171" s="466"/>
      <c r="I171" s="54">
        <v>1</v>
      </c>
      <c r="J171" s="54" t="s">
        <v>876</v>
      </c>
      <c r="K171" s="54" t="s">
        <v>1404</v>
      </c>
      <c r="L171" s="334" t="s">
        <v>1897</v>
      </c>
      <c r="M171" s="54" t="s">
        <v>878</v>
      </c>
      <c r="N171" s="54">
        <v>1</v>
      </c>
      <c r="O171" s="54">
        <v>1</v>
      </c>
      <c r="P171" s="54">
        <v>0</v>
      </c>
      <c r="Q171" s="66" t="s">
        <v>1371</v>
      </c>
    </row>
    <row r="172" spans="1:17" x14ac:dyDescent="0.25">
      <c r="A172" s="66">
        <v>169</v>
      </c>
      <c r="B172" s="105"/>
      <c r="C172" s="464" t="s">
        <v>961</v>
      </c>
      <c r="D172" s="54">
        <v>1</v>
      </c>
      <c r="E172" s="54" t="s">
        <v>1453</v>
      </c>
      <c r="F172" s="54" t="s">
        <v>1220</v>
      </c>
      <c r="G172" s="54" t="s">
        <v>221</v>
      </c>
      <c r="H172" s="62">
        <v>14438</v>
      </c>
      <c r="I172" s="54">
        <v>1</v>
      </c>
      <c r="J172" s="54" t="s">
        <v>876</v>
      </c>
      <c r="K172" s="54" t="s">
        <v>1405</v>
      </c>
      <c r="L172" s="334" t="s">
        <v>1898</v>
      </c>
      <c r="M172" s="54" t="s">
        <v>878</v>
      </c>
      <c r="N172" s="54">
        <v>1</v>
      </c>
      <c r="O172" s="54">
        <v>1</v>
      </c>
      <c r="P172" s="54">
        <v>0</v>
      </c>
      <c r="Q172" s="66" t="s">
        <v>1371</v>
      </c>
    </row>
    <row r="173" spans="1:17" x14ac:dyDescent="0.25">
      <c r="A173" s="66">
        <v>170</v>
      </c>
      <c r="B173" s="105"/>
      <c r="C173" s="464"/>
      <c r="D173" s="54">
        <v>1</v>
      </c>
      <c r="E173" s="54"/>
      <c r="F173" s="54" t="s">
        <v>963</v>
      </c>
      <c r="G173" s="54" t="s">
        <v>221</v>
      </c>
      <c r="H173" s="62">
        <v>15171</v>
      </c>
      <c r="I173" s="54">
        <v>1</v>
      </c>
      <c r="J173" s="54" t="s">
        <v>876</v>
      </c>
      <c r="K173" s="54" t="s">
        <v>221</v>
      </c>
      <c r="L173" s="334" t="s">
        <v>1899</v>
      </c>
      <c r="M173" s="54" t="s">
        <v>878</v>
      </c>
      <c r="N173" s="54">
        <v>1</v>
      </c>
      <c r="O173" s="54">
        <v>1</v>
      </c>
      <c r="P173" s="54">
        <v>0</v>
      </c>
      <c r="Q173" s="66" t="s">
        <v>1371</v>
      </c>
    </row>
    <row r="174" spans="1:17" x14ac:dyDescent="0.25">
      <c r="A174" s="66">
        <v>171</v>
      </c>
      <c r="B174" s="105"/>
      <c r="C174" s="54" t="s">
        <v>992</v>
      </c>
      <c r="D174" s="66">
        <v>1</v>
      </c>
      <c r="E174" s="54" t="s">
        <v>221</v>
      </c>
      <c r="F174" s="54" t="s">
        <v>221</v>
      </c>
      <c r="G174" s="54" t="s">
        <v>221</v>
      </c>
      <c r="H174" s="62">
        <v>1850</v>
      </c>
      <c r="I174" s="54">
        <v>1</v>
      </c>
      <c r="J174" s="54" t="s">
        <v>876</v>
      </c>
      <c r="K174" s="136">
        <v>1900520000402</v>
      </c>
      <c r="L174" s="356" t="s">
        <v>1979</v>
      </c>
      <c r="M174" s="54" t="s">
        <v>878</v>
      </c>
      <c r="N174" s="54">
        <v>1</v>
      </c>
      <c r="O174" s="54">
        <v>1</v>
      </c>
      <c r="P174" s="54">
        <v>0</v>
      </c>
      <c r="Q174" s="66" t="s">
        <v>1371</v>
      </c>
    </row>
    <row r="175" spans="1:17" ht="56.25" x14ac:dyDescent="0.25">
      <c r="A175" s="66">
        <v>172</v>
      </c>
      <c r="B175" s="105" t="s">
        <v>1406</v>
      </c>
      <c r="C175" s="54" t="s">
        <v>1407</v>
      </c>
      <c r="D175" s="66">
        <v>1</v>
      </c>
      <c r="E175" s="54" t="s">
        <v>1409</v>
      </c>
      <c r="F175" s="54" t="s">
        <v>1410</v>
      </c>
      <c r="G175" s="54" t="s">
        <v>1441</v>
      </c>
      <c r="H175" s="62">
        <v>30868</v>
      </c>
      <c r="I175" s="54">
        <v>1</v>
      </c>
      <c r="J175" s="54" t="s">
        <v>1408</v>
      </c>
      <c r="K175" s="136" t="s">
        <v>1435</v>
      </c>
      <c r="L175" s="349" t="s">
        <v>1874</v>
      </c>
      <c r="M175" s="54" t="s">
        <v>878</v>
      </c>
      <c r="N175" s="54">
        <v>1</v>
      </c>
      <c r="O175" s="54">
        <v>1</v>
      </c>
      <c r="P175" s="54">
        <v>0</v>
      </c>
      <c r="Q175" s="66" t="s">
        <v>1371</v>
      </c>
    </row>
    <row r="176" spans="1:17" s="187" customFormat="1" ht="21" x14ac:dyDescent="0.25">
      <c r="A176" s="196"/>
      <c r="B176" s="196"/>
      <c r="C176" s="196"/>
      <c r="D176" s="195">
        <f>SUM(D4:D175)</f>
        <v>463</v>
      </c>
      <c r="E176" s="196"/>
      <c r="F176" s="196"/>
      <c r="G176" s="196"/>
      <c r="H176" s="197">
        <f>SUM(H4:H175)</f>
        <v>20531414.975652173</v>
      </c>
      <c r="I176" s="195">
        <f>SUM(I4:I175)</f>
        <v>463</v>
      </c>
      <c r="J176" s="196"/>
      <c r="K176" s="196"/>
      <c r="L176" s="357"/>
      <c r="M176" s="196"/>
      <c r="N176" s="196"/>
      <c r="O176" s="196"/>
      <c r="P176" s="196"/>
      <c r="Q176" s="196"/>
    </row>
  </sheetData>
  <mergeCells count="168">
    <mergeCell ref="B4:B5"/>
    <mergeCell ref="C4:C5"/>
    <mergeCell ref="B89:B91"/>
    <mergeCell ref="B153:B156"/>
    <mergeCell ref="H25:H28"/>
    <mergeCell ref="H29:H32"/>
    <mergeCell ref="H33:H38"/>
    <mergeCell ref="H39:H40"/>
    <mergeCell ref="H41:H42"/>
    <mergeCell ref="H43:H45"/>
    <mergeCell ref="B62:B71"/>
    <mergeCell ref="G64:G71"/>
    <mergeCell ref="E64:E71"/>
    <mergeCell ref="F60:F61"/>
    <mergeCell ref="E60:E61"/>
    <mergeCell ref="G60:G61"/>
    <mergeCell ref="G58:G59"/>
    <mergeCell ref="F64:F71"/>
    <mergeCell ref="E58:E59"/>
    <mergeCell ref="D58:D59"/>
    <mergeCell ref="F46:F50"/>
    <mergeCell ref="F52:F54"/>
    <mergeCell ref="G52:G54"/>
    <mergeCell ref="D52:D54"/>
    <mergeCell ref="A1:Q1"/>
    <mergeCell ref="A2:A3"/>
    <mergeCell ref="C2:C3"/>
    <mergeCell ref="D2:D3"/>
    <mergeCell ref="E2:E3"/>
    <mergeCell ref="F2:F3"/>
    <mergeCell ref="G2:G3"/>
    <mergeCell ref="H2:H3"/>
    <mergeCell ref="I2:K2"/>
    <mergeCell ref="M2:M3"/>
    <mergeCell ref="N2:N3"/>
    <mergeCell ref="O2:O3"/>
    <mergeCell ref="P2:P3"/>
    <mergeCell ref="Q2:Q3"/>
    <mergeCell ref="B60:B61"/>
    <mergeCell ref="B58:B59"/>
    <mergeCell ref="B6:B7"/>
    <mergeCell ref="C25:C28"/>
    <mergeCell ref="C29:C32"/>
    <mergeCell ref="C33:C38"/>
    <mergeCell ref="C39:C40"/>
    <mergeCell ref="C41:C42"/>
    <mergeCell ref="C43:C45"/>
    <mergeCell ref="C46:C50"/>
    <mergeCell ref="C13:C15"/>
    <mergeCell ref="B11:B56"/>
    <mergeCell ref="C52:C54"/>
    <mergeCell ref="D64:D71"/>
    <mergeCell ref="F58:F59"/>
    <mergeCell ref="D43:D45"/>
    <mergeCell ref="E25:E45"/>
    <mergeCell ref="D33:D38"/>
    <mergeCell ref="D39:D40"/>
    <mergeCell ref="F25:F45"/>
    <mergeCell ref="G25:G45"/>
    <mergeCell ref="H64:H71"/>
    <mergeCell ref="E52:E54"/>
    <mergeCell ref="E46:E50"/>
    <mergeCell ref="D46:D50"/>
    <mergeCell ref="G46:G50"/>
    <mergeCell ref="D25:D28"/>
    <mergeCell ref="D29:D32"/>
    <mergeCell ref="D41:D42"/>
    <mergeCell ref="H58:H59"/>
    <mergeCell ref="D60:D61"/>
    <mergeCell ref="F4:F5"/>
    <mergeCell ref="C23:C24"/>
    <mergeCell ref="G4:G5"/>
    <mergeCell ref="D4:D5"/>
    <mergeCell ref="E6:E7"/>
    <mergeCell ref="F6:F7"/>
    <mergeCell ref="G6:G7"/>
    <mergeCell ref="F13:F16"/>
    <mergeCell ref="G13:G16"/>
    <mergeCell ref="E8:E10"/>
    <mergeCell ref="F8:F10"/>
    <mergeCell ref="G8:G10"/>
    <mergeCell ref="C17:C21"/>
    <mergeCell ref="D17:D21"/>
    <mergeCell ref="D23:D24"/>
    <mergeCell ref="G23:G24"/>
    <mergeCell ref="E13:E16"/>
    <mergeCell ref="D13:D15"/>
    <mergeCell ref="E23:E24"/>
    <mergeCell ref="F23:F24"/>
    <mergeCell ref="E18:E22"/>
    <mergeCell ref="G18:G22"/>
    <mergeCell ref="F18:F22"/>
    <mergeCell ref="H76:H82"/>
    <mergeCell ref="D76:D82"/>
    <mergeCell ref="E76:E82"/>
    <mergeCell ref="F76:F82"/>
    <mergeCell ref="G76:G82"/>
    <mergeCell ref="G113:G126"/>
    <mergeCell ref="H113:H126"/>
    <mergeCell ref="H89:H91"/>
    <mergeCell ref="C97:C111"/>
    <mergeCell ref="E97:E111"/>
    <mergeCell ref="F97:F111"/>
    <mergeCell ref="G97:G111"/>
    <mergeCell ref="H97:H111"/>
    <mergeCell ref="D97:D111"/>
    <mergeCell ref="D94:D95"/>
    <mergeCell ref="D89:D91"/>
    <mergeCell ref="E89:E91"/>
    <mergeCell ref="F89:F91"/>
    <mergeCell ref="C125:C126"/>
    <mergeCell ref="D125:D126"/>
    <mergeCell ref="H146:H147"/>
    <mergeCell ref="H148:H149"/>
    <mergeCell ref="E153:E156"/>
    <mergeCell ref="H153:H156"/>
    <mergeCell ref="E157:E158"/>
    <mergeCell ref="E164:E166"/>
    <mergeCell ref="G127:G143"/>
    <mergeCell ref="H127:H143"/>
    <mergeCell ref="D136:D139"/>
    <mergeCell ref="E162:E163"/>
    <mergeCell ref="F162:F163"/>
    <mergeCell ref="B97:B139"/>
    <mergeCell ref="F127:F143"/>
    <mergeCell ref="C153:C156"/>
    <mergeCell ref="C164:C166"/>
    <mergeCell ref="D127:D135"/>
    <mergeCell ref="C148:C149"/>
    <mergeCell ref="D146:D147"/>
    <mergeCell ref="D148:D149"/>
    <mergeCell ref="D153:D156"/>
    <mergeCell ref="D164:D166"/>
    <mergeCell ref="B162:B166"/>
    <mergeCell ref="C144:C145"/>
    <mergeCell ref="D144:D145"/>
    <mergeCell ref="C142:C143"/>
    <mergeCell ref="D142:D143"/>
    <mergeCell ref="E127:E143"/>
    <mergeCell ref="D140:D141"/>
    <mergeCell ref="D113:D124"/>
    <mergeCell ref="F113:F126"/>
    <mergeCell ref="E113:E126"/>
    <mergeCell ref="C140:C141"/>
    <mergeCell ref="C169:C171"/>
    <mergeCell ref="E169:E171"/>
    <mergeCell ref="F169:F171"/>
    <mergeCell ref="G169:G171"/>
    <mergeCell ref="H169:H171"/>
    <mergeCell ref="C172:C173"/>
    <mergeCell ref="B72:B75"/>
    <mergeCell ref="B146:B147"/>
    <mergeCell ref="B148:B149"/>
    <mergeCell ref="B157:B158"/>
    <mergeCell ref="F164:F166"/>
    <mergeCell ref="G164:G166"/>
    <mergeCell ref="B76:B88"/>
    <mergeCell ref="E83:E88"/>
    <mergeCell ref="F83:F88"/>
    <mergeCell ref="C89:C91"/>
    <mergeCell ref="C94:C95"/>
    <mergeCell ref="C113:C124"/>
    <mergeCell ref="C127:C135"/>
    <mergeCell ref="C136:C139"/>
    <mergeCell ref="C146:C147"/>
    <mergeCell ref="B142:B145"/>
    <mergeCell ref="C162:C163"/>
    <mergeCell ref="D162:D16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6" fitToHeight="0" orientation="landscape" r:id="rId1"/>
  <rowBreaks count="4" manualBreakCount="4">
    <brk id="27" max="16383" man="1"/>
    <brk id="68" max="16383" man="1"/>
    <brk id="112" max="16383" man="1"/>
    <brk id="152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2"/>
  <sheetViews>
    <sheetView zoomScale="70" zoomScaleNormal="70" workbookViewId="0">
      <pane ySplit="3" topLeftCell="A25" activePane="bottomLeft" state="frozen"/>
      <selection activeCell="B16" sqref="B16"/>
      <selection pane="bottomLeft" activeCell="L51" sqref="L51"/>
    </sheetView>
  </sheetViews>
  <sheetFormatPr defaultRowHeight="18.75" x14ac:dyDescent="0.25"/>
  <cols>
    <col min="1" max="1" width="7.140625" style="55" bestFit="1" customWidth="1"/>
    <col min="2" max="2" width="18.140625" style="140" bestFit="1" customWidth="1"/>
    <col min="3" max="3" width="31.140625" style="55" bestFit="1" customWidth="1"/>
    <col min="4" max="4" width="5.85546875" style="55" bestFit="1" customWidth="1"/>
    <col min="5" max="5" width="36.85546875" style="55" customWidth="1"/>
    <col min="6" max="6" width="27" style="55" customWidth="1"/>
    <col min="7" max="7" width="21.5703125" style="55" customWidth="1"/>
    <col min="8" max="8" width="19" style="174" bestFit="1" customWidth="1"/>
    <col min="9" max="9" width="5.42578125" style="55" bestFit="1" customWidth="1"/>
    <col min="10" max="10" width="17.28515625" style="55" bestFit="1" customWidth="1"/>
    <col min="11" max="11" width="27.85546875" style="55" customWidth="1"/>
    <col min="12" max="12" width="25.28515625" style="55" customWidth="1"/>
    <col min="13" max="13" width="18.28515625" style="55" customWidth="1"/>
    <col min="14" max="14" width="9.140625" style="55"/>
    <col min="15" max="15" width="12.5703125" style="55" customWidth="1"/>
    <col min="16" max="16" width="12.85546875" style="55" customWidth="1"/>
    <col min="17" max="17" width="20.28515625" style="55" customWidth="1"/>
    <col min="18" max="16384" width="9.140625" style="55"/>
  </cols>
  <sheetData>
    <row r="1" spans="1:17" ht="21" x14ac:dyDescent="0.25">
      <c r="A1" s="560" t="s">
        <v>1463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</row>
    <row r="2" spans="1:17" ht="24" customHeight="1" x14ac:dyDescent="0.25">
      <c r="A2" s="502" t="s">
        <v>0</v>
      </c>
      <c r="B2" s="106"/>
      <c r="C2" s="502" t="s">
        <v>1</v>
      </c>
      <c r="D2" s="502" t="s">
        <v>2</v>
      </c>
      <c r="E2" s="502" t="s">
        <v>10</v>
      </c>
      <c r="F2" s="502" t="s">
        <v>3</v>
      </c>
      <c r="G2" s="502" t="s">
        <v>4</v>
      </c>
      <c r="H2" s="561" t="s">
        <v>5</v>
      </c>
      <c r="I2" s="503" t="s">
        <v>9</v>
      </c>
      <c r="J2" s="503"/>
      <c r="K2" s="503"/>
      <c r="L2" s="182"/>
      <c r="M2" s="543" t="s">
        <v>1025</v>
      </c>
      <c r="N2" s="447" t="s">
        <v>6</v>
      </c>
      <c r="O2" s="447" t="s">
        <v>7</v>
      </c>
      <c r="P2" s="447" t="s">
        <v>8</v>
      </c>
      <c r="Q2" s="447" t="s">
        <v>836</v>
      </c>
    </row>
    <row r="3" spans="1:17" ht="27" customHeight="1" x14ac:dyDescent="0.25">
      <c r="A3" s="502"/>
      <c r="B3" s="106"/>
      <c r="C3" s="502"/>
      <c r="D3" s="502"/>
      <c r="E3" s="502"/>
      <c r="F3" s="502"/>
      <c r="G3" s="502"/>
      <c r="H3" s="561"/>
      <c r="I3" s="154" t="s">
        <v>11</v>
      </c>
      <c r="J3" s="154" t="s">
        <v>676</v>
      </c>
      <c r="K3" s="154" t="s">
        <v>12</v>
      </c>
      <c r="L3" s="182" t="s">
        <v>1900</v>
      </c>
      <c r="M3" s="543"/>
      <c r="N3" s="447"/>
      <c r="O3" s="447"/>
      <c r="P3" s="447"/>
      <c r="Q3" s="447"/>
    </row>
    <row r="4" spans="1:17" x14ac:dyDescent="0.25">
      <c r="A4" s="66">
        <v>1</v>
      </c>
      <c r="B4" s="557" t="s">
        <v>1243</v>
      </c>
      <c r="C4" s="54" t="s">
        <v>823</v>
      </c>
      <c r="D4" s="54">
        <v>1</v>
      </c>
      <c r="E4" s="54" t="s">
        <v>1216</v>
      </c>
      <c r="F4" s="54" t="s">
        <v>1195</v>
      </c>
      <c r="G4" s="54" t="s">
        <v>221</v>
      </c>
      <c r="H4" s="62">
        <v>1715</v>
      </c>
      <c r="I4" s="54">
        <v>1</v>
      </c>
      <c r="J4" s="54" t="s">
        <v>876</v>
      </c>
      <c r="K4" s="242" t="s">
        <v>221</v>
      </c>
      <c r="L4" s="224" t="s">
        <v>1829</v>
      </c>
      <c r="M4" s="237" t="s">
        <v>1013</v>
      </c>
      <c r="N4" s="54">
        <v>1</v>
      </c>
      <c r="O4" s="54">
        <v>1</v>
      </c>
      <c r="P4" s="54">
        <v>0</v>
      </c>
      <c r="Q4" s="66" t="s">
        <v>1371</v>
      </c>
    </row>
    <row r="5" spans="1:17" x14ac:dyDescent="0.25">
      <c r="A5" s="66">
        <v>2</v>
      </c>
      <c r="B5" s="557"/>
      <c r="C5" s="54" t="s">
        <v>823</v>
      </c>
      <c r="D5" s="54">
        <v>1</v>
      </c>
      <c r="E5" s="464" t="s">
        <v>1194</v>
      </c>
      <c r="F5" s="464" t="s">
        <v>1195</v>
      </c>
      <c r="G5" s="54" t="s">
        <v>221</v>
      </c>
      <c r="H5" s="62">
        <v>1715</v>
      </c>
      <c r="I5" s="54">
        <v>1</v>
      </c>
      <c r="J5" s="54" t="s">
        <v>876</v>
      </c>
      <c r="K5" s="242" t="s">
        <v>221</v>
      </c>
      <c r="L5" s="224" t="s">
        <v>1830</v>
      </c>
      <c r="M5" s="237" t="s">
        <v>1013</v>
      </c>
      <c r="N5" s="54">
        <v>1</v>
      </c>
      <c r="O5" s="54">
        <v>1</v>
      </c>
      <c r="P5" s="54">
        <v>0</v>
      </c>
      <c r="Q5" s="66" t="s">
        <v>1371</v>
      </c>
    </row>
    <row r="6" spans="1:17" x14ac:dyDescent="0.25">
      <c r="A6" s="66">
        <v>3</v>
      </c>
      <c r="B6" s="557"/>
      <c r="C6" s="54" t="s">
        <v>1193</v>
      </c>
      <c r="D6" s="54">
        <v>2</v>
      </c>
      <c r="E6" s="464"/>
      <c r="F6" s="464"/>
      <c r="G6" s="54" t="s">
        <v>221</v>
      </c>
      <c r="H6" s="62">
        <v>2330</v>
      </c>
      <c r="I6" s="54">
        <v>2</v>
      </c>
      <c r="J6" s="54" t="s">
        <v>876</v>
      </c>
      <c r="K6" s="242" t="s">
        <v>221</v>
      </c>
      <c r="L6" s="224" t="s">
        <v>1831</v>
      </c>
      <c r="M6" s="237" t="s">
        <v>1013</v>
      </c>
      <c r="N6" s="54">
        <v>2</v>
      </c>
      <c r="O6" s="54">
        <v>2</v>
      </c>
      <c r="P6" s="54">
        <v>0</v>
      </c>
      <c r="Q6" s="66" t="s">
        <v>1371</v>
      </c>
    </row>
    <row r="7" spans="1:17" x14ac:dyDescent="0.25">
      <c r="A7" s="66">
        <v>4</v>
      </c>
      <c r="B7" s="557"/>
      <c r="C7" s="54" t="s">
        <v>1193</v>
      </c>
      <c r="D7" s="54">
        <v>1</v>
      </c>
      <c r="E7" s="54"/>
      <c r="F7" s="54" t="s">
        <v>1209</v>
      </c>
      <c r="G7" s="54"/>
      <c r="H7" s="62">
        <v>1640</v>
      </c>
      <c r="I7" s="54">
        <v>1</v>
      </c>
      <c r="J7" s="54"/>
      <c r="K7" s="242" t="s">
        <v>1281</v>
      </c>
      <c r="L7" s="225" t="s">
        <v>1832</v>
      </c>
      <c r="M7" s="237" t="s">
        <v>1013</v>
      </c>
      <c r="N7" s="54">
        <v>1</v>
      </c>
      <c r="O7" s="54">
        <v>1</v>
      </c>
      <c r="P7" s="54">
        <v>0</v>
      </c>
      <c r="Q7" s="66" t="s">
        <v>1371</v>
      </c>
    </row>
    <row r="8" spans="1:17" ht="24.75" customHeight="1" x14ac:dyDescent="0.25">
      <c r="A8" s="66">
        <v>5</v>
      </c>
      <c r="B8" s="105"/>
      <c r="C8" s="54" t="s">
        <v>824</v>
      </c>
      <c r="D8" s="54">
        <v>1</v>
      </c>
      <c r="E8" s="54" t="s">
        <v>1283</v>
      </c>
      <c r="F8" s="54" t="s">
        <v>1282</v>
      </c>
      <c r="G8" s="54" t="s">
        <v>221</v>
      </c>
      <c r="H8" s="62">
        <v>999</v>
      </c>
      <c r="I8" s="54">
        <v>1</v>
      </c>
      <c r="J8" s="54" t="s">
        <v>876</v>
      </c>
      <c r="K8" s="242" t="s">
        <v>221</v>
      </c>
      <c r="L8" s="225" t="s">
        <v>1833</v>
      </c>
      <c r="M8" s="237" t="s">
        <v>1013</v>
      </c>
      <c r="N8" s="54">
        <v>1</v>
      </c>
      <c r="O8" s="54">
        <v>1</v>
      </c>
      <c r="P8" s="66">
        <v>0</v>
      </c>
      <c r="Q8" s="66" t="s">
        <v>1371</v>
      </c>
    </row>
    <row r="9" spans="1:17" ht="56.25" x14ac:dyDescent="0.25">
      <c r="A9" s="66">
        <v>6</v>
      </c>
      <c r="B9" s="105" t="s">
        <v>1364</v>
      </c>
      <c r="C9" s="54" t="s">
        <v>825</v>
      </c>
      <c r="D9" s="54">
        <v>1</v>
      </c>
      <c r="E9" s="54" t="s">
        <v>1355</v>
      </c>
      <c r="F9" s="54" t="s">
        <v>1357</v>
      </c>
      <c r="G9" s="54" t="s">
        <v>1356</v>
      </c>
      <c r="H9" s="114">
        <v>6490</v>
      </c>
      <c r="I9" s="54">
        <v>1</v>
      </c>
      <c r="J9" s="54" t="s">
        <v>876</v>
      </c>
      <c r="K9" s="242">
        <v>254019609</v>
      </c>
      <c r="L9" s="224" t="s">
        <v>1834</v>
      </c>
      <c r="M9" s="237" t="s">
        <v>1013</v>
      </c>
      <c r="N9" s="54">
        <v>1</v>
      </c>
      <c r="O9" s="54">
        <v>1</v>
      </c>
      <c r="P9" s="66">
        <v>0</v>
      </c>
      <c r="Q9" s="66" t="s">
        <v>1371</v>
      </c>
    </row>
    <row r="10" spans="1:17" x14ac:dyDescent="0.25">
      <c r="A10" s="66">
        <v>7</v>
      </c>
      <c r="B10" s="558" t="s">
        <v>1202</v>
      </c>
      <c r="C10" s="464" t="s">
        <v>1203</v>
      </c>
      <c r="D10" s="464">
        <v>2</v>
      </c>
      <c r="E10" s="464" t="s">
        <v>1205</v>
      </c>
      <c r="F10" s="464" t="s">
        <v>1206</v>
      </c>
      <c r="G10" s="54" t="s">
        <v>221</v>
      </c>
      <c r="H10" s="62">
        <v>7545.99</v>
      </c>
      <c r="I10" s="54">
        <v>1</v>
      </c>
      <c r="J10" s="54" t="s">
        <v>876</v>
      </c>
      <c r="K10" s="242" t="s">
        <v>221</v>
      </c>
      <c r="L10" s="224" t="s">
        <v>1835</v>
      </c>
      <c r="M10" s="237" t="s">
        <v>1013</v>
      </c>
      <c r="N10" s="54">
        <v>1</v>
      </c>
      <c r="O10" s="54">
        <v>1</v>
      </c>
      <c r="P10" s="54">
        <v>0</v>
      </c>
      <c r="Q10" s="66" t="s">
        <v>1371</v>
      </c>
    </row>
    <row r="11" spans="1:17" x14ac:dyDescent="0.25">
      <c r="A11" s="66">
        <v>8</v>
      </c>
      <c r="B11" s="558"/>
      <c r="C11" s="464"/>
      <c r="D11" s="464"/>
      <c r="E11" s="464"/>
      <c r="F11" s="464"/>
      <c r="G11" s="54" t="s">
        <v>221</v>
      </c>
      <c r="H11" s="62">
        <v>7545.99</v>
      </c>
      <c r="I11" s="54">
        <v>1</v>
      </c>
      <c r="J11" s="54" t="s">
        <v>1204</v>
      </c>
      <c r="K11" s="242" t="s">
        <v>221</v>
      </c>
      <c r="L11" s="224" t="s">
        <v>1836</v>
      </c>
      <c r="M11" s="237" t="s">
        <v>1013</v>
      </c>
      <c r="N11" s="54">
        <v>1</v>
      </c>
      <c r="O11" s="54">
        <v>1</v>
      </c>
      <c r="P11" s="54">
        <v>0</v>
      </c>
      <c r="Q11" s="66" t="s">
        <v>1371</v>
      </c>
    </row>
    <row r="12" spans="1:17" ht="37.5" x14ac:dyDescent="0.25">
      <c r="A12" s="66">
        <v>9</v>
      </c>
      <c r="B12" s="105"/>
      <c r="C12" s="54" t="s">
        <v>799</v>
      </c>
      <c r="D12" s="54">
        <v>1</v>
      </c>
      <c r="E12" s="54" t="s">
        <v>1280</v>
      </c>
      <c r="F12" s="54" t="s">
        <v>1279</v>
      </c>
      <c r="G12" s="54" t="s">
        <v>221</v>
      </c>
      <c r="H12" s="62">
        <v>1800</v>
      </c>
      <c r="I12" s="54">
        <v>1</v>
      </c>
      <c r="J12" s="54" t="s">
        <v>876</v>
      </c>
      <c r="K12" s="242" t="s">
        <v>221</v>
      </c>
      <c r="L12" s="223" t="s">
        <v>1837</v>
      </c>
      <c r="M12" s="237" t="s">
        <v>1013</v>
      </c>
      <c r="N12" s="54">
        <v>1</v>
      </c>
      <c r="O12" s="54">
        <v>1</v>
      </c>
      <c r="P12" s="66">
        <v>0</v>
      </c>
      <c r="Q12" s="66" t="s">
        <v>1371</v>
      </c>
    </row>
    <row r="13" spans="1:17" x14ac:dyDescent="0.25">
      <c r="A13" s="66">
        <v>10</v>
      </c>
      <c r="B13" s="105"/>
      <c r="C13" s="54" t="s">
        <v>899</v>
      </c>
      <c r="D13" s="54">
        <v>1</v>
      </c>
      <c r="E13" s="54" t="s">
        <v>1036</v>
      </c>
      <c r="F13" s="54" t="s">
        <v>389</v>
      </c>
      <c r="G13" s="54" t="s">
        <v>389</v>
      </c>
      <c r="H13" s="62">
        <v>8050.85</v>
      </c>
      <c r="I13" s="54">
        <v>1</v>
      </c>
      <c r="J13" s="54" t="s">
        <v>876</v>
      </c>
      <c r="K13" s="242">
        <v>28022883</v>
      </c>
      <c r="L13" s="223" t="s">
        <v>1838</v>
      </c>
      <c r="M13" s="237" t="s">
        <v>855</v>
      </c>
      <c r="N13" s="54">
        <v>1</v>
      </c>
      <c r="O13" s="54">
        <v>1</v>
      </c>
      <c r="P13" s="66">
        <v>0</v>
      </c>
      <c r="Q13" s="66" t="s">
        <v>1371</v>
      </c>
    </row>
    <row r="14" spans="1:17" ht="24.75" customHeight="1" x14ac:dyDescent="0.25">
      <c r="A14" s="66">
        <v>11</v>
      </c>
      <c r="B14" s="557" t="s">
        <v>1244</v>
      </c>
      <c r="C14" s="464" t="s">
        <v>907</v>
      </c>
      <c r="D14" s="464">
        <v>2</v>
      </c>
      <c r="E14" s="464" t="s">
        <v>1878</v>
      </c>
      <c r="F14" s="464" t="s">
        <v>974</v>
      </c>
      <c r="G14" s="464" t="s">
        <v>389</v>
      </c>
      <c r="H14" s="62">
        <v>5042.37</v>
      </c>
      <c r="I14" s="54">
        <v>1</v>
      </c>
      <c r="J14" s="54" t="s">
        <v>876</v>
      </c>
      <c r="K14" s="242" t="s">
        <v>1037</v>
      </c>
      <c r="L14" s="223" t="s">
        <v>1839</v>
      </c>
      <c r="M14" s="237" t="s">
        <v>878</v>
      </c>
      <c r="N14" s="54">
        <v>1</v>
      </c>
      <c r="O14" s="54">
        <v>1</v>
      </c>
      <c r="P14" s="66">
        <v>0</v>
      </c>
      <c r="Q14" s="66" t="s">
        <v>1371</v>
      </c>
    </row>
    <row r="15" spans="1:17" ht="24.75" customHeight="1" x14ac:dyDescent="0.25">
      <c r="A15" s="66">
        <v>12</v>
      </c>
      <c r="B15" s="557"/>
      <c r="C15" s="464"/>
      <c r="D15" s="464"/>
      <c r="E15" s="464"/>
      <c r="F15" s="464"/>
      <c r="G15" s="464"/>
      <c r="H15" s="62">
        <v>5042.37</v>
      </c>
      <c r="I15" s="54">
        <v>1</v>
      </c>
      <c r="J15" s="54" t="s">
        <v>1004</v>
      </c>
      <c r="K15" s="242" t="s">
        <v>1038</v>
      </c>
      <c r="L15" s="223" t="s">
        <v>1840</v>
      </c>
      <c r="M15" s="237" t="s">
        <v>878</v>
      </c>
      <c r="N15" s="54">
        <v>1</v>
      </c>
      <c r="O15" s="54">
        <v>1</v>
      </c>
      <c r="P15" s="66">
        <v>0</v>
      </c>
      <c r="Q15" s="66" t="s">
        <v>1411</v>
      </c>
    </row>
    <row r="16" spans="1:17" ht="37.5" x14ac:dyDescent="0.25">
      <c r="A16" s="66">
        <v>13</v>
      </c>
      <c r="B16" s="557"/>
      <c r="C16" s="54" t="s">
        <v>1153</v>
      </c>
      <c r="D16" s="54">
        <v>1</v>
      </c>
      <c r="E16" s="54" t="s">
        <v>1154</v>
      </c>
      <c r="F16" s="54" t="s">
        <v>974</v>
      </c>
      <c r="G16" s="54" t="s">
        <v>221</v>
      </c>
      <c r="H16" s="62">
        <v>3299</v>
      </c>
      <c r="I16" s="54">
        <v>1</v>
      </c>
      <c r="J16" s="54" t="s">
        <v>852</v>
      </c>
      <c r="K16" s="242" t="s">
        <v>221</v>
      </c>
      <c r="L16" s="223" t="s">
        <v>1841</v>
      </c>
      <c r="M16" s="237" t="s">
        <v>878</v>
      </c>
      <c r="N16" s="54">
        <v>1</v>
      </c>
      <c r="O16" s="54">
        <v>1</v>
      </c>
      <c r="P16" s="66">
        <v>0</v>
      </c>
      <c r="Q16" s="66" t="s">
        <v>1371</v>
      </c>
    </row>
    <row r="17" spans="1:17" x14ac:dyDescent="0.25">
      <c r="A17" s="66">
        <v>14</v>
      </c>
      <c r="B17" s="105"/>
      <c r="C17" s="54" t="s">
        <v>1103</v>
      </c>
      <c r="D17" s="54">
        <v>1</v>
      </c>
      <c r="E17" s="54" t="s">
        <v>1101</v>
      </c>
      <c r="F17" s="54" t="s">
        <v>1102</v>
      </c>
      <c r="G17" s="54">
        <v>290159</v>
      </c>
      <c r="H17" s="62">
        <v>206985</v>
      </c>
      <c r="I17" s="54">
        <v>1</v>
      </c>
      <c r="J17" s="54" t="s">
        <v>876</v>
      </c>
      <c r="K17" s="242" t="s">
        <v>389</v>
      </c>
      <c r="L17" s="225" t="s">
        <v>1842</v>
      </c>
      <c r="M17" s="237" t="s">
        <v>878</v>
      </c>
      <c r="N17" s="54">
        <v>1</v>
      </c>
      <c r="O17" s="54">
        <v>1</v>
      </c>
      <c r="P17" s="66">
        <v>0</v>
      </c>
      <c r="Q17" s="66" t="s">
        <v>881</v>
      </c>
    </row>
    <row r="18" spans="1:17" ht="37.5" x14ac:dyDescent="0.25">
      <c r="A18" s="66">
        <v>15</v>
      </c>
      <c r="B18" s="505" t="s">
        <v>957</v>
      </c>
      <c r="C18" s="516" t="s">
        <v>958</v>
      </c>
      <c r="D18" s="516">
        <v>2</v>
      </c>
      <c r="E18" s="464" t="s">
        <v>1122</v>
      </c>
      <c r="F18" s="464" t="s">
        <v>1124</v>
      </c>
      <c r="G18" s="464" t="s">
        <v>1123</v>
      </c>
      <c r="H18" s="466">
        <v>20400</v>
      </c>
      <c r="I18" s="54">
        <v>1</v>
      </c>
      <c r="J18" s="54" t="s">
        <v>876</v>
      </c>
      <c r="K18" s="242" t="s">
        <v>1121</v>
      </c>
      <c r="L18" s="223" t="s">
        <v>1843</v>
      </c>
      <c r="M18" s="237" t="s">
        <v>878</v>
      </c>
      <c r="N18" s="54">
        <v>1</v>
      </c>
      <c r="O18" s="54">
        <v>1</v>
      </c>
      <c r="P18" s="54">
        <v>0</v>
      </c>
      <c r="Q18" s="66" t="s">
        <v>1371</v>
      </c>
    </row>
    <row r="19" spans="1:17" x14ac:dyDescent="0.25">
      <c r="A19" s="66">
        <v>16</v>
      </c>
      <c r="B19" s="505"/>
      <c r="C19" s="516"/>
      <c r="D19" s="516"/>
      <c r="E19" s="464"/>
      <c r="F19" s="464"/>
      <c r="G19" s="464"/>
      <c r="H19" s="466"/>
      <c r="I19" s="54">
        <v>1</v>
      </c>
      <c r="J19" s="54" t="s">
        <v>876</v>
      </c>
      <c r="K19" s="242" t="s">
        <v>1125</v>
      </c>
      <c r="L19" s="223" t="s">
        <v>1844</v>
      </c>
      <c r="M19" s="237" t="s">
        <v>878</v>
      </c>
      <c r="N19" s="54">
        <v>1</v>
      </c>
      <c r="O19" s="54">
        <v>1</v>
      </c>
      <c r="P19" s="54">
        <v>0</v>
      </c>
      <c r="Q19" s="66" t="s">
        <v>1371</v>
      </c>
    </row>
    <row r="20" spans="1:17" s="68" customFormat="1" ht="37.5" x14ac:dyDescent="0.25">
      <c r="A20" s="66">
        <v>17</v>
      </c>
      <c r="B20" s="53"/>
      <c r="C20" s="54" t="s">
        <v>1072</v>
      </c>
      <c r="D20" s="54">
        <v>2</v>
      </c>
      <c r="E20" s="54" t="s">
        <v>1071</v>
      </c>
      <c r="F20" s="54" t="s">
        <v>1073</v>
      </c>
      <c r="G20" s="54" t="s">
        <v>1074</v>
      </c>
      <c r="H20" s="62">
        <v>22900</v>
      </c>
      <c r="I20" s="54">
        <v>2</v>
      </c>
      <c r="J20" s="54" t="s">
        <v>876</v>
      </c>
      <c r="K20" s="242">
        <v>9126796</v>
      </c>
      <c r="L20" s="223" t="s">
        <v>1845</v>
      </c>
      <c r="M20" s="237" t="s">
        <v>878</v>
      </c>
      <c r="N20" s="54">
        <v>2</v>
      </c>
      <c r="O20" s="54">
        <v>2</v>
      </c>
      <c r="P20" s="54">
        <v>0</v>
      </c>
      <c r="Q20" s="54" t="s">
        <v>1249</v>
      </c>
    </row>
    <row r="21" spans="1:17" s="68" customFormat="1" ht="37.5" x14ac:dyDescent="0.25">
      <c r="A21" s="66">
        <v>18</v>
      </c>
      <c r="B21" s="53"/>
      <c r="C21" s="54" t="s">
        <v>993</v>
      </c>
      <c r="D21" s="54">
        <v>1</v>
      </c>
      <c r="E21" s="54" t="s">
        <v>221</v>
      </c>
      <c r="F21" s="54" t="s">
        <v>1069</v>
      </c>
      <c r="G21" s="54" t="s">
        <v>1070</v>
      </c>
      <c r="H21" s="62">
        <v>8400</v>
      </c>
      <c r="I21" s="54">
        <v>1</v>
      </c>
      <c r="J21" s="54" t="s">
        <v>876</v>
      </c>
      <c r="K21" s="242" t="s">
        <v>995</v>
      </c>
      <c r="L21" s="223" t="s">
        <v>1846</v>
      </c>
      <c r="M21" s="237" t="s">
        <v>878</v>
      </c>
      <c r="N21" s="54">
        <v>1</v>
      </c>
      <c r="O21" s="54">
        <v>1</v>
      </c>
      <c r="P21" s="54">
        <v>0</v>
      </c>
      <c r="Q21" s="54" t="s">
        <v>1371</v>
      </c>
    </row>
    <row r="22" spans="1:17" s="68" customFormat="1" ht="24.75" customHeight="1" x14ac:dyDescent="0.25">
      <c r="A22" s="66">
        <v>19</v>
      </c>
      <c r="B22" s="543" t="s">
        <v>1127</v>
      </c>
      <c r="C22" s="559" t="s">
        <v>994</v>
      </c>
      <c r="D22" s="559">
        <v>3</v>
      </c>
      <c r="E22" s="464" t="s">
        <v>1077</v>
      </c>
      <c r="F22" s="464" t="s">
        <v>1078</v>
      </c>
      <c r="G22" s="464" t="s">
        <v>1079</v>
      </c>
      <c r="H22" s="62">
        <v>3540.61</v>
      </c>
      <c r="I22" s="54">
        <v>1</v>
      </c>
      <c r="J22" s="54" t="s">
        <v>876</v>
      </c>
      <c r="K22" s="242" t="s">
        <v>996</v>
      </c>
      <c r="L22" s="223" t="s">
        <v>1847</v>
      </c>
      <c r="M22" s="237" t="s">
        <v>878</v>
      </c>
      <c r="N22" s="54">
        <v>1</v>
      </c>
      <c r="O22" s="54">
        <v>1</v>
      </c>
      <c r="P22" s="54">
        <v>0</v>
      </c>
      <c r="Q22" s="66" t="s">
        <v>1371</v>
      </c>
    </row>
    <row r="23" spans="1:17" s="68" customFormat="1" ht="24.75" customHeight="1" x14ac:dyDescent="0.25">
      <c r="A23" s="66">
        <v>20</v>
      </c>
      <c r="B23" s="543"/>
      <c r="C23" s="559"/>
      <c r="D23" s="559"/>
      <c r="E23" s="464"/>
      <c r="F23" s="464"/>
      <c r="G23" s="464"/>
      <c r="H23" s="62">
        <v>3540.61</v>
      </c>
      <c r="I23" s="54">
        <v>1</v>
      </c>
      <c r="J23" s="54" t="s">
        <v>1080</v>
      </c>
      <c r="K23" s="242" t="s">
        <v>1081</v>
      </c>
      <c r="L23" s="223" t="s">
        <v>1848</v>
      </c>
      <c r="M23" s="237" t="s">
        <v>878</v>
      </c>
      <c r="N23" s="54">
        <v>1</v>
      </c>
      <c r="O23" s="54">
        <v>1</v>
      </c>
      <c r="P23" s="54">
        <v>0</v>
      </c>
      <c r="Q23" s="66" t="s">
        <v>1371</v>
      </c>
    </row>
    <row r="24" spans="1:17" s="68" customFormat="1" ht="24.75" customHeight="1" x14ac:dyDescent="0.25">
      <c r="A24" s="66">
        <v>21</v>
      </c>
      <c r="B24" s="543"/>
      <c r="C24" s="559"/>
      <c r="D24" s="559"/>
      <c r="E24" s="464"/>
      <c r="F24" s="464"/>
      <c r="G24" s="464"/>
      <c r="H24" s="62">
        <v>3540.61</v>
      </c>
      <c r="I24" s="54">
        <v>1</v>
      </c>
      <c r="J24" s="54" t="s">
        <v>1004</v>
      </c>
      <c r="K24" s="242" t="s">
        <v>1015</v>
      </c>
      <c r="L24" s="223" t="s">
        <v>1849</v>
      </c>
      <c r="M24" s="237" t="s">
        <v>878</v>
      </c>
      <c r="N24" s="54">
        <v>1</v>
      </c>
      <c r="O24" s="54">
        <v>1</v>
      </c>
      <c r="P24" s="54">
        <v>0</v>
      </c>
      <c r="Q24" s="66" t="s">
        <v>1371</v>
      </c>
    </row>
    <row r="25" spans="1:17" ht="75" x14ac:dyDescent="0.25">
      <c r="A25" s="66">
        <v>22</v>
      </c>
      <c r="B25" s="183" t="s">
        <v>946</v>
      </c>
      <c r="C25" s="66" t="s">
        <v>946</v>
      </c>
      <c r="D25" s="66">
        <v>4</v>
      </c>
      <c r="E25" s="66" t="s">
        <v>1155</v>
      </c>
      <c r="F25" s="66" t="s">
        <v>974</v>
      </c>
      <c r="G25" s="54" t="s">
        <v>221</v>
      </c>
      <c r="H25" s="181">
        <v>18000</v>
      </c>
      <c r="I25" s="66">
        <v>4</v>
      </c>
      <c r="J25" s="66" t="s">
        <v>852</v>
      </c>
      <c r="K25" s="229" t="s">
        <v>221</v>
      </c>
      <c r="L25" s="225" t="s">
        <v>2101</v>
      </c>
      <c r="M25" s="238" t="s">
        <v>1013</v>
      </c>
      <c r="N25" s="66">
        <v>4</v>
      </c>
      <c r="O25" s="66">
        <v>4</v>
      </c>
      <c r="P25" s="66">
        <v>0</v>
      </c>
      <c r="Q25" s="66" t="s">
        <v>1371</v>
      </c>
    </row>
    <row r="26" spans="1:17" ht="37.5" x14ac:dyDescent="0.25">
      <c r="A26" s="66">
        <v>23</v>
      </c>
      <c r="B26" s="105"/>
      <c r="C26" s="54" t="s">
        <v>947</v>
      </c>
      <c r="D26" s="54">
        <v>1</v>
      </c>
      <c r="E26" s="235" t="s">
        <v>1960</v>
      </c>
      <c r="F26" s="54" t="s">
        <v>1227</v>
      </c>
      <c r="G26" s="54" t="s">
        <v>221</v>
      </c>
      <c r="H26" s="54">
        <v>230161.02</v>
      </c>
      <c r="I26" s="54">
        <v>1</v>
      </c>
      <c r="J26" s="54" t="s">
        <v>927</v>
      </c>
      <c r="K26" s="234" t="s">
        <v>2072</v>
      </c>
      <c r="L26" s="252" t="s">
        <v>1959</v>
      </c>
      <c r="M26" s="237" t="s">
        <v>1013</v>
      </c>
      <c r="N26" s="54">
        <v>1</v>
      </c>
      <c r="O26" s="54">
        <v>1</v>
      </c>
      <c r="P26" s="54">
        <v>0</v>
      </c>
      <c r="Q26" s="66" t="s">
        <v>1371</v>
      </c>
    </row>
    <row r="27" spans="1:17" ht="112.5" x14ac:dyDescent="0.25">
      <c r="A27" s="66">
        <v>24</v>
      </c>
      <c r="B27" s="105"/>
      <c r="C27" s="54" t="s">
        <v>948</v>
      </c>
      <c r="D27" s="66">
        <v>1</v>
      </c>
      <c r="E27" s="66" t="s">
        <v>1177</v>
      </c>
      <c r="F27" s="66" t="s">
        <v>1178</v>
      </c>
      <c r="G27" s="54" t="s">
        <v>221</v>
      </c>
      <c r="H27" s="181">
        <v>13990</v>
      </c>
      <c r="I27" s="66">
        <v>1</v>
      </c>
      <c r="J27" s="66" t="s">
        <v>927</v>
      </c>
      <c r="K27" s="243">
        <v>1113608064018960</v>
      </c>
      <c r="L27" s="175" t="s">
        <v>1850</v>
      </c>
      <c r="M27" s="238" t="s">
        <v>874</v>
      </c>
      <c r="N27" s="66">
        <v>1</v>
      </c>
      <c r="O27" s="66">
        <v>1</v>
      </c>
      <c r="P27" s="66">
        <v>0</v>
      </c>
      <c r="Q27" s="66" t="s">
        <v>1456</v>
      </c>
    </row>
    <row r="28" spans="1:17" ht="37.5" x14ac:dyDescent="0.25">
      <c r="A28" s="66">
        <v>25</v>
      </c>
      <c r="B28" s="505" t="s">
        <v>957</v>
      </c>
      <c r="C28" s="516" t="s">
        <v>940</v>
      </c>
      <c r="D28" s="516">
        <v>2</v>
      </c>
      <c r="E28" s="496" t="s">
        <v>1128</v>
      </c>
      <c r="F28" s="496" t="s">
        <v>1129</v>
      </c>
      <c r="G28" s="54" t="s">
        <v>221</v>
      </c>
      <c r="H28" s="562">
        <v>20946</v>
      </c>
      <c r="I28" s="54">
        <v>1</v>
      </c>
      <c r="J28" s="66" t="s">
        <v>927</v>
      </c>
      <c r="K28" s="229" t="s">
        <v>1130</v>
      </c>
      <c r="L28" s="225" t="s">
        <v>1851</v>
      </c>
      <c r="M28" s="238" t="s">
        <v>1013</v>
      </c>
      <c r="N28" s="66">
        <v>1</v>
      </c>
      <c r="O28" s="66">
        <v>1</v>
      </c>
      <c r="P28" s="66">
        <v>0</v>
      </c>
      <c r="Q28" s="66" t="s">
        <v>1371</v>
      </c>
    </row>
    <row r="29" spans="1:17" x14ac:dyDescent="0.25">
      <c r="A29" s="66">
        <v>26</v>
      </c>
      <c r="B29" s="505"/>
      <c r="C29" s="516"/>
      <c r="D29" s="516"/>
      <c r="E29" s="496"/>
      <c r="F29" s="496"/>
      <c r="G29" s="54" t="s">
        <v>221</v>
      </c>
      <c r="H29" s="562"/>
      <c r="I29" s="54">
        <v>1</v>
      </c>
      <c r="J29" s="54" t="s">
        <v>1004</v>
      </c>
      <c r="K29" s="242" t="s">
        <v>1126</v>
      </c>
      <c r="L29" s="223" t="s">
        <v>1852</v>
      </c>
      <c r="M29" s="237" t="s">
        <v>1013</v>
      </c>
      <c r="N29" s="54">
        <v>1</v>
      </c>
      <c r="O29" s="54">
        <v>1</v>
      </c>
      <c r="P29" s="54">
        <v>0</v>
      </c>
      <c r="Q29" s="66" t="s">
        <v>1371</v>
      </c>
    </row>
    <row r="30" spans="1:17" ht="24.75" customHeight="1" x14ac:dyDescent="0.25">
      <c r="A30" s="66">
        <v>27</v>
      </c>
      <c r="B30" s="505"/>
      <c r="C30" s="131" t="s">
        <v>1196</v>
      </c>
      <c r="D30" s="131">
        <v>1</v>
      </c>
      <c r="E30" s="66" t="s">
        <v>1197</v>
      </c>
      <c r="F30" s="66" t="s">
        <v>1198</v>
      </c>
      <c r="G30" s="54" t="s">
        <v>221</v>
      </c>
      <c r="H30" s="181">
        <v>9790</v>
      </c>
      <c r="I30" s="54">
        <v>1</v>
      </c>
      <c r="J30" s="54" t="s">
        <v>1004</v>
      </c>
      <c r="K30" s="242" t="s">
        <v>1199</v>
      </c>
      <c r="L30" s="224" t="s">
        <v>1853</v>
      </c>
      <c r="M30" s="237" t="s">
        <v>1013</v>
      </c>
      <c r="N30" s="54">
        <v>1</v>
      </c>
      <c r="O30" s="54">
        <v>1</v>
      </c>
      <c r="P30" s="54">
        <v>0</v>
      </c>
      <c r="Q30" s="66" t="s">
        <v>1371</v>
      </c>
    </row>
    <row r="31" spans="1:17" ht="37.5" x14ac:dyDescent="0.25">
      <c r="A31" s="66">
        <v>28</v>
      </c>
      <c r="B31" s="105"/>
      <c r="C31" s="66" t="s">
        <v>1163</v>
      </c>
      <c r="D31" s="66">
        <v>1</v>
      </c>
      <c r="E31" s="66" t="s">
        <v>1164</v>
      </c>
      <c r="F31" s="66" t="s">
        <v>1165</v>
      </c>
      <c r="G31" s="54" t="s">
        <v>221</v>
      </c>
      <c r="H31" s="181">
        <v>9832</v>
      </c>
      <c r="I31" s="66">
        <v>1</v>
      </c>
      <c r="J31" s="66" t="s">
        <v>1004</v>
      </c>
      <c r="K31" s="242" t="s">
        <v>221</v>
      </c>
      <c r="L31" s="225" t="s">
        <v>1854</v>
      </c>
      <c r="M31" s="249" t="s">
        <v>873</v>
      </c>
      <c r="N31" s="98">
        <v>1</v>
      </c>
      <c r="O31" s="98">
        <v>1</v>
      </c>
      <c r="P31" s="66">
        <v>0</v>
      </c>
      <c r="Q31" s="66" t="s">
        <v>1371</v>
      </c>
    </row>
    <row r="32" spans="1:17" ht="168.75" x14ac:dyDescent="0.25">
      <c r="A32" s="66">
        <v>29</v>
      </c>
      <c r="B32" s="543" t="s">
        <v>816</v>
      </c>
      <c r="C32" s="63" t="s">
        <v>816</v>
      </c>
      <c r="D32" s="63">
        <v>9</v>
      </c>
      <c r="E32" s="54" t="s">
        <v>1211</v>
      </c>
      <c r="F32" s="54" t="s">
        <v>1212</v>
      </c>
      <c r="G32" s="54" t="s">
        <v>1213</v>
      </c>
      <c r="H32" s="64">
        <v>11360</v>
      </c>
      <c r="I32" s="63">
        <v>9</v>
      </c>
      <c r="J32" s="54" t="s">
        <v>1004</v>
      </c>
      <c r="K32" s="242" t="s">
        <v>221</v>
      </c>
      <c r="L32" s="173" t="s">
        <v>2102</v>
      </c>
      <c r="M32" s="250" t="s">
        <v>873</v>
      </c>
      <c r="N32" s="63">
        <v>9</v>
      </c>
      <c r="O32" s="98">
        <v>9</v>
      </c>
      <c r="P32" s="66">
        <v>0</v>
      </c>
      <c r="Q32" s="66" t="s">
        <v>1371</v>
      </c>
    </row>
    <row r="33" spans="1:17" ht="37.5" x14ac:dyDescent="0.25">
      <c r="A33" s="66">
        <v>30</v>
      </c>
      <c r="B33" s="543"/>
      <c r="C33" s="63" t="s">
        <v>816</v>
      </c>
      <c r="D33" s="63">
        <v>2</v>
      </c>
      <c r="E33" s="63" t="s">
        <v>1215</v>
      </c>
      <c r="F33" s="54" t="s">
        <v>1214</v>
      </c>
      <c r="G33" s="54" t="s">
        <v>221</v>
      </c>
      <c r="H33" s="64">
        <v>3305</v>
      </c>
      <c r="I33" s="63">
        <v>2</v>
      </c>
      <c r="J33" s="54" t="s">
        <v>1004</v>
      </c>
      <c r="K33" s="242" t="s">
        <v>221</v>
      </c>
      <c r="L33" s="224" t="s">
        <v>2103</v>
      </c>
      <c r="M33" s="250" t="s">
        <v>855</v>
      </c>
      <c r="N33" s="63">
        <v>2</v>
      </c>
      <c r="O33" s="98">
        <v>2</v>
      </c>
      <c r="P33" s="66">
        <v>0</v>
      </c>
      <c r="Q33" s="66" t="s">
        <v>1371</v>
      </c>
    </row>
    <row r="34" spans="1:17" x14ac:dyDescent="0.25">
      <c r="A34" s="66">
        <v>31</v>
      </c>
      <c r="B34" s="543"/>
      <c r="C34" s="63" t="s">
        <v>816</v>
      </c>
      <c r="D34" s="63">
        <v>3</v>
      </c>
      <c r="E34" s="54" t="s">
        <v>221</v>
      </c>
      <c r="F34" s="54" t="s">
        <v>221</v>
      </c>
      <c r="G34" s="54" t="s">
        <v>221</v>
      </c>
      <c r="H34" s="64">
        <v>1694.92</v>
      </c>
      <c r="I34" s="63">
        <v>3</v>
      </c>
      <c r="J34" s="54"/>
      <c r="K34" s="242" t="s">
        <v>221</v>
      </c>
      <c r="L34" s="173" t="s">
        <v>1855</v>
      </c>
      <c r="M34" s="250" t="s">
        <v>855</v>
      </c>
      <c r="N34" s="63">
        <v>3</v>
      </c>
      <c r="O34" s="98">
        <v>3</v>
      </c>
      <c r="P34" s="66">
        <v>0</v>
      </c>
      <c r="Q34" s="66" t="s">
        <v>1371</v>
      </c>
    </row>
    <row r="35" spans="1:17" x14ac:dyDescent="0.25">
      <c r="A35" s="66">
        <v>32</v>
      </c>
      <c r="B35" s="53"/>
      <c r="C35" s="63" t="s">
        <v>818</v>
      </c>
      <c r="D35" s="63">
        <v>1</v>
      </c>
      <c r="E35" s="63" t="s">
        <v>1238</v>
      </c>
      <c r="F35" s="54" t="s">
        <v>1239</v>
      </c>
      <c r="G35" s="54" t="s">
        <v>221</v>
      </c>
      <c r="H35" s="64">
        <v>5841</v>
      </c>
      <c r="I35" s="63">
        <v>1</v>
      </c>
      <c r="J35" s="54" t="s">
        <v>1004</v>
      </c>
      <c r="K35" s="242" t="s">
        <v>221</v>
      </c>
      <c r="L35" s="225" t="s">
        <v>1856</v>
      </c>
      <c r="M35" s="250" t="s">
        <v>873</v>
      </c>
      <c r="N35" s="63">
        <v>1</v>
      </c>
      <c r="O35" s="63">
        <v>1</v>
      </c>
      <c r="P35" s="66">
        <v>0</v>
      </c>
      <c r="Q35" s="66" t="s">
        <v>1371</v>
      </c>
    </row>
    <row r="36" spans="1:17" ht="37.5" x14ac:dyDescent="0.25">
      <c r="A36" s="66">
        <v>33</v>
      </c>
      <c r="B36" s="105"/>
      <c r="C36" s="98" t="s">
        <v>779</v>
      </c>
      <c r="D36" s="98">
        <v>1</v>
      </c>
      <c r="E36" s="98" t="s">
        <v>1132</v>
      </c>
      <c r="F36" s="66" t="s">
        <v>1133</v>
      </c>
      <c r="G36" s="54" t="s">
        <v>221</v>
      </c>
      <c r="H36" s="99">
        <v>19999</v>
      </c>
      <c r="I36" s="98">
        <v>1</v>
      </c>
      <c r="J36" s="66" t="s">
        <v>1004</v>
      </c>
      <c r="K36" s="244" t="s">
        <v>1131</v>
      </c>
      <c r="L36" s="103" t="s">
        <v>1857</v>
      </c>
      <c r="M36" s="249" t="s">
        <v>873</v>
      </c>
      <c r="N36" s="98">
        <v>1</v>
      </c>
      <c r="O36" s="98">
        <v>1</v>
      </c>
      <c r="P36" s="66">
        <v>0</v>
      </c>
      <c r="Q36" s="66" t="s">
        <v>1371</v>
      </c>
    </row>
    <row r="37" spans="1:17" ht="37.5" x14ac:dyDescent="0.25">
      <c r="A37" s="66">
        <v>34</v>
      </c>
      <c r="B37" s="105"/>
      <c r="C37" s="63" t="s">
        <v>819</v>
      </c>
      <c r="D37" s="63">
        <v>1</v>
      </c>
      <c r="E37" s="63" t="s">
        <v>1208</v>
      </c>
      <c r="F37" s="54" t="s">
        <v>1209</v>
      </c>
      <c r="G37" s="54" t="s">
        <v>1210</v>
      </c>
      <c r="H37" s="64">
        <v>1389.83</v>
      </c>
      <c r="I37" s="63">
        <v>1</v>
      </c>
      <c r="J37" s="54" t="s">
        <v>1004</v>
      </c>
      <c r="K37" s="242" t="s">
        <v>221</v>
      </c>
      <c r="L37" s="223" t="s">
        <v>1832</v>
      </c>
      <c r="M37" s="250" t="s">
        <v>873</v>
      </c>
      <c r="N37" s="63">
        <v>1</v>
      </c>
      <c r="O37" s="98">
        <v>1</v>
      </c>
      <c r="P37" s="66">
        <v>0</v>
      </c>
      <c r="Q37" s="66" t="s">
        <v>1371</v>
      </c>
    </row>
    <row r="38" spans="1:17" x14ac:dyDescent="0.25">
      <c r="A38" s="66">
        <v>35</v>
      </c>
      <c r="B38" s="106" t="s">
        <v>485</v>
      </c>
      <c r="C38" s="98" t="s">
        <v>1017</v>
      </c>
      <c r="D38" s="98">
        <v>1</v>
      </c>
      <c r="E38" s="98" t="s">
        <v>1041</v>
      </c>
      <c r="F38" s="54" t="s">
        <v>221</v>
      </c>
      <c r="G38" s="54" t="s">
        <v>221</v>
      </c>
      <c r="H38" s="99">
        <v>20000</v>
      </c>
      <c r="I38" s="98">
        <v>1</v>
      </c>
      <c r="J38" s="66" t="s">
        <v>1004</v>
      </c>
      <c r="K38" s="229">
        <v>10006339</v>
      </c>
      <c r="L38" s="225" t="s">
        <v>1858</v>
      </c>
      <c r="M38" s="249" t="s">
        <v>873</v>
      </c>
      <c r="N38" s="98">
        <v>1</v>
      </c>
      <c r="O38" s="98">
        <v>1</v>
      </c>
      <c r="P38" s="66">
        <v>0</v>
      </c>
      <c r="Q38" s="66" t="s">
        <v>1371</v>
      </c>
    </row>
    <row r="39" spans="1:17" x14ac:dyDescent="0.25">
      <c r="A39" s="66">
        <v>36</v>
      </c>
      <c r="B39" s="557"/>
      <c r="C39" s="97" t="s">
        <v>1021</v>
      </c>
      <c r="D39" s="54">
        <v>1</v>
      </c>
      <c r="E39" s="54" t="s">
        <v>1063</v>
      </c>
      <c r="F39" s="54" t="s">
        <v>1064</v>
      </c>
      <c r="G39" s="98" t="s">
        <v>221</v>
      </c>
      <c r="H39" s="62">
        <v>43050.84</v>
      </c>
      <c r="I39" s="54">
        <v>1</v>
      </c>
      <c r="J39" s="54" t="s">
        <v>1004</v>
      </c>
      <c r="K39" s="245">
        <v>350350150761585</v>
      </c>
      <c r="L39" s="225" t="s">
        <v>1859</v>
      </c>
      <c r="M39" s="249" t="s">
        <v>873</v>
      </c>
      <c r="N39" s="54">
        <v>1</v>
      </c>
      <c r="O39" s="54">
        <v>1</v>
      </c>
      <c r="P39" s="54">
        <v>0</v>
      </c>
      <c r="Q39" s="66" t="s">
        <v>1371</v>
      </c>
    </row>
    <row r="40" spans="1:17" x14ac:dyDescent="0.25">
      <c r="A40" s="66">
        <v>37</v>
      </c>
      <c r="B40" s="557"/>
      <c r="C40" s="97" t="s">
        <v>1040</v>
      </c>
      <c r="D40" s="54">
        <v>1</v>
      </c>
      <c r="E40" s="54" t="s">
        <v>1207</v>
      </c>
      <c r="F40" s="54" t="s">
        <v>1157</v>
      </c>
      <c r="G40" s="98" t="s">
        <v>221</v>
      </c>
      <c r="H40" s="64">
        <v>57999</v>
      </c>
      <c r="I40" s="54">
        <v>1</v>
      </c>
      <c r="J40" s="54" t="s">
        <v>1004</v>
      </c>
      <c r="K40" s="242" t="s">
        <v>1018</v>
      </c>
      <c r="L40" s="224" t="s">
        <v>1860</v>
      </c>
      <c r="M40" s="249" t="s">
        <v>873</v>
      </c>
      <c r="N40" s="54">
        <v>1</v>
      </c>
      <c r="O40" s="54">
        <v>1</v>
      </c>
      <c r="P40" s="54">
        <v>0</v>
      </c>
      <c r="Q40" s="54" t="s">
        <v>841</v>
      </c>
    </row>
    <row r="41" spans="1:17" ht="37.5" x14ac:dyDescent="0.25">
      <c r="A41" s="66">
        <v>38</v>
      </c>
      <c r="B41" s="557"/>
      <c r="C41" s="97" t="s">
        <v>1039</v>
      </c>
      <c r="D41" s="54">
        <v>1</v>
      </c>
      <c r="E41" s="54">
        <v>117</v>
      </c>
      <c r="F41" s="54" t="s">
        <v>1022</v>
      </c>
      <c r="G41" s="98" t="s">
        <v>221</v>
      </c>
      <c r="H41" s="62">
        <v>119643.22</v>
      </c>
      <c r="I41" s="54">
        <v>1</v>
      </c>
      <c r="J41" s="54" t="s">
        <v>1004</v>
      </c>
      <c r="K41" s="242" t="s">
        <v>389</v>
      </c>
      <c r="L41" s="225" t="s">
        <v>1861</v>
      </c>
      <c r="M41" s="249" t="s">
        <v>873</v>
      </c>
      <c r="N41" s="54">
        <v>1</v>
      </c>
      <c r="O41" s="54">
        <v>1</v>
      </c>
      <c r="P41" s="54">
        <v>0</v>
      </c>
      <c r="Q41" s="66" t="s">
        <v>1371</v>
      </c>
    </row>
    <row r="42" spans="1:17" x14ac:dyDescent="0.25">
      <c r="A42" s="66">
        <v>39</v>
      </c>
      <c r="B42" s="557"/>
      <c r="C42" s="97" t="s">
        <v>1023</v>
      </c>
      <c r="D42" s="54">
        <v>1</v>
      </c>
      <c r="E42" s="54" t="s">
        <v>1156</v>
      </c>
      <c r="F42" s="54" t="s">
        <v>1157</v>
      </c>
      <c r="G42" s="98" t="s">
        <v>221</v>
      </c>
      <c r="H42" s="62">
        <v>68000</v>
      </c>
      <c r="I42" s="54">
        <v>1</v>
      </c>
      <c r="J42" s="54" t="s">
        <v>1004</v>
      </c>
      <c r="K42" s="245">
        <v>358035083429864</v>
      </c>
      <c r="L42" s="222" t="s">
        <v>1862</v>
      </c>
      <c r="M42" s="249" t="s">
        <v>873</v>
      </c>
      <c r="N42" s="54">
        <v>1</v>
      </c>
      <c r="O42" s="54">
        <v>1</v>
      </c>
      <c r="P42" s="54">
        <v>0</v>
      </c>
      <c r="Q42" s="54" t="s">
        <v>1024</v>
      </c>
    </row>
    <row r="43" spans="1:17" s="68" customFormat="1" ht="37.5" x14ac:dyDescent="0.25">
      <c r="A43" s="66">
        <v>40</v>
      </c>
      <c r="B43" s="53"/>
      <c r="C43" s="63" t="s">
        <v>1014</v>
      </c>
      <c r="D43" s="54">
        <v>1</v>
      </c>
      <c r="E43" s="54" t="s">
        <v>1066</v>
      </c>
      <c r="F43" s="54" t="s">
        <v>1067</v>
      </c>
      <c r="G43" s="54" t="s">
        <v>1068</v>
      </c>
      <c r="H43" s="62">
        <v>24800</v>
      </c>
      <c r="I43" s="54">
        <v>1</v>
      </c>
      <c r="J43" s="54" t="s">
        <v>1004</v>
      </c>
      <c r="K43" s="242" t="s">
        <v>1065</v>
      </c>
      <c r="L43" s="223" t="s">
        <v>1863</v>
      </c>
      <c r="M43" s="237" t="s">
        <v>1013</v>
      </c>
      <c r="N43" s="54">
        <v>1</v>
      </c>
      <c r="O43" s="54">
        <v>1</v>
      </c>
      <c r="P43" s="54">
        <v>0</v>
      </c>
      <c r="Q43" s="66" t="s">
        <v>1371</v>
      </c>
    </row>
    <row r="44" spans="1:17" ht="37.5" x14ac:dyDescent="0.25">
      <c r="A44" s="66">
        <v>41</v>
      </c>
      <c r="B44" s="505" t="s">
        <v>470</v>
      </c>
      <c r="C44" s="63" t="s">
        <v>785</v>
      </c>
      <c r="D44" s="63">
        <v>1</v>
      </c>
      <c r="E44" s="63" t="s">
        <v>1141</v>
      </c>
      <c r="F44" s="54" t="s">
        <v>1142</v>
      </c>
      <c r="G44" s="54" t="s">
        <v>1143</v>
      </c>
      <c r="H44" s="64">
        <v>25313</v>
      </c>
      <c r="I44" s="63">
        <v>1</v>
      </c>
      <c r="J44" s="54" t="s">
        <v>1004</v>
      </c>
      <c r="K44" s="246" t="s">
        <v>1906</v>
      </c>
      <c r="L44" s="225" t="s">
        <v>1864</v>
      </c>
      <c r="M44" s="250" t="s">
        <v>873</v>
      </c>
      <c r="N44" s="63">
        <v>1</v>
      </c>
      <c r="O44" s="63">
        <v>1</v>
      </c>
      <c r="P44" s="66">
        <v>0</v>
      </c>
      <c r="Q44" s="66" t="s">
        <v>1371</v>
      </c>
    </row>
    <row r="45" spans="1:17" x14ac:dyDescent="0.25">
      <c r="A45" s="66">
        <v>42</v>
      </c>
      <c r="B45" s="505"/>
      <c r="C45" s="63" t="s">
        <v>786</v>
      </c>
      <c r="D45" s="63">
        <v>1</v>
      </c>
      <c r="E45" s="63" t="s">
        <v>1138</v>
      </c>
      <c r="F45" s="54" t="s">
        <v>1139</v>
      </c>
      <c r="G45" s="98" t="s">
        <v>221</v>
      </c>
      <c r="H45" s="64">
        <v>11210</v>
      </c>
      <c r="I45" s="63">
        <v>1</v>
      </c>
      <c r="J45" s="54" t="s">
        <v>1004</v>
      </c>
      <c r="K45" s="246" t="s">
        <v>1144</v>
      </c>
      <c r="L45" s="227" t="s">
        <v>1865</v>
      </c>
      <c r="M45" s="250" t="s">
        <v>873</v>
      </c>
      <c r="N45" s="63">
        <v>1</v>
      </c>
      <c r="O45" s="63">
        <v>1</v>
      </c>
      <c r="P45" s="66">
        <v>0</v>
      </c>
      <c r="Q45" s="66" t="s">
        <v>1371</v>
      </c>
    </row>
    <row r="46" spans="1:17" ht="37.5" x14ac:dyDescent="0.25">
      <c r="A46" s="66">
        <v>43</v>
      </c>
      <c r="B46" s="505"/>
      <c r="C46" s="110" t="s">
        <v>470</v>
      </c>
      <c r="D46" s="66">
        <v>1</v>
      </c>
      <c r="E46" s="89" t="s">
        <v>471</v>
      </c>
      <c r="F46" s="66" t="s">
        <v>1140</v>
      </c>
      <c r="G46" s="98" t="s">
        <v>221</v>
      </c>
      <c r="H46" s="62">
        <v>154237</v>
      </c>
      <c r="I46" s="54">
        <v>1</v>
      </c>
      <c r="J46" s="54" t="s">
        <v>838</v>
      </c>
      <c r="K46" s="247" t="s">
        <v>296</v>
      </c>
      <c r="L46" s="104" t="s">
        <v>1866</v>
      </c>
      <c r="M46" s="237" t="s">
        <v>873</v>
      </c>
      <c r="N46" s="54">
        <v>1</v>
      </c>
      <c r="O46" s="54">
        <v>1</v>
      </c>
      <c r="P46" s="66">
        <v>0</v>
      </c>
      <c r="Q46" s="66" t="s">
        <v>1371</v>
      </c>
    </row>
    <row r="47" spans="1:17" ht="37.5" x14ac:dyDescent="0.3">
      <c r="A47" s="66">
        <v>44</v>
      </c>
      <c r="B47" s="105" t="s">
        <v>1190</v>
      </c>
      <c r="C47" s="66" t="s">
        <v>1191</v>
      </c>
      <c r="D47" s="66">
        <v>1</v>
      </c>
      <c r="E47" s="66" t="s">
        <v>1175</v>
      </c>
      <c r="F47" s="54" t="s">
        <v>1176</v>
      </c>
      <c r="G47" s="66" t="s">
        <v>389</v>
      </c>
      <c r="H47" s="181">
        <v>866689.79</v>
      </c>
      <c r="I47" s="66">
        <v>1</v>
      </c>
      <c r="J47" s="54" t="s">
        <v>1004</v>
      </c>
      <c r="K47" s="207" t="s">
        <v>1907</v>
      </c>
      <c r="L47" s="227" t="s">
        <v>1867</v>
      </c>
      <c r="M47" s="237" t="s">
        <v>873</v>
      </c>
      <c r="N47" s="54">
        <v>1</v>
      </c>
      <c r="O47" s="54">
        <v>1</v>
      </c>
      <c r="P47" s="66">
        <v>0</v>
      </c>
      <c r="Q47" s="66" t="s">
        <v>1371</v>
      </c>
    </row>
    <row r="48" spans="1:17" ht="37.5" x14ac:dyDescent="0.25">
      <c r="A48" s="66">
        <v>45</v>
      </c>
      <c r="B48" s="105" t="s">
        <v>1417</v>
      </c>
      <c r="C48" s="66" t="s">
        <v>1416</v>
      </c>
      <c r="D48" s="66">
        <v>1</v>
      </c>
      <c r="E48" s="66" t="s">
        <v>1418</v>
      </c>
      <c r="F48" s="54" t="s">
        <v>1419</v>
      </c>
      <c r="G48" s="66" t="s">
        <v>1438</v>
      </c>
      <c r="H48" s="181">
        <v>83400</v>
      </c>
      <c r="I48" s="66">
        <v>1</v>
      </c>
      <c r="J48" s="54" t="s">
        <v>1004</v>
      </c>
      <c r="K48" s="246">
        <v>5704172</v>
      </c>
      <c r="L48" s="227" t="s">
        <v>1908</v>
      </c>
      <c r="M48" s="237" t="s">
        <v>1013</v>
      </c>
      <c r="N48" s="54">
        <v>1</v>
      </c>
      <c r="O48" s="54">
        <v>1</v>
      </c>
      <c r="P48" s="66">
        <v>0</v>
      </c>
      <c r="Q48" s="66" t="s">
        <v>1381</v>
      </c>
    </row>
    <row r="49" spans="1:17" ht="37.5" x14ac:dyDescent="0.2">
      <c r="A49" s="66">
        <v>46</v>
      </c>
      <c r="B49" s="105" t="s">
        <v>1420</v>
      </c>
      <c r="C49" s="66" t="s">
        <v>1436</v>
      </c>
      <c r="D49" s="66">
        <v>1</v>
      </c>
      <c r="E49" s="233" t="s">
        <v>1958</v>
      </c>
      <c r="F49" s="54" t="s">
        <v>1421</v>
      </c>
      <c r="G49" s="66" t="s">
        <v>1437</v>
      </c>
      <c r="H49" s="181">
        <v>20001</v>
      </c>
      <c r="I49" s="66">
        <v>2</v>
      </c>
      <c r="J49" s="54" t="s">
        <v>1004</v>
      </c>
      <c r="K49" s="246" t="s">
        <v>1439</v>
      </c>
      <c r="L49" s="253" t="s">
        <v>1957</v>
      </c>
      <c r="M49" s="237" t="s">
        <v>878</v>
      </c>
      <c r="N49" s="54">
        <v>1</v>
      </c>
      <c r="O49" s="54">
        <v>1</v>
      </c>
      <c r="P49" s="66">
        <v>0</v>
      </c>
      <c r="Q49" s="66" t="s">
        <v>1381</v>
      </c>
    </row>
    <row r="50" spans="1:17" ht="37.5" x14ac:dyDescent="0.2">
      <c r="A50" s="66">
        <v>47</v>
      </c>
      <c r="B50" s="105" t="s">
        <v>1422</v>
      </c>
      <c r="C50" s="66" t="s">
        <v>1432</v>
      </c>
      <c r="D50" s="66">
        <v>1</v>
      </c>
      <c r="E50" s="66" t="s">
        <v>1423</v>
      </c>
      <c r="F50" s="54" t="s">
        <v>1424</v>
      </c>
      <c r="G50" s="66" t="s">
        <v>1428</v>
      </c>
      <c r="H50" s="181">
        <v>81150</v>
      </c>
      <c r="I50" s="66">
        <v>1</v>
      </c>
      <c r="J50" s="54" t="s">
        <v>1004</v>
      </c>
      <c r="K50" s="232">
        <v>7059861</v>
      </c>
      <c r="L50" s="240" t="s">
        <v>1956</v>
      </c>
      <c r="M50" s="237" t="s">
        <v>878</v>
      </c>
      <c r="N50" s="54">
        <v>1</v>
      </c>
      <c r="O50" s="54">
        <v>1</v>
      </c>
      <c r="P50" s="66">
        <v>0</v>
      </c>
      <c r="Q50" s="66" t="s">
        <v>1381</v>
      </c>
    </row>
    <row r="51" spans="1:17" ht="36.75" customHeight="1" x14ac:dyDescent="0.25">
      <c r="A51" s="66">
        <v>48</v>
      </c>
      <c r="B51" s="105" t="s">
        <v>1433</v>
      </c>
      <c r="C51" s="66" t="s">
        <v>1909</v>
      </c>
      <c r="D51" s="66">
        <v>1</v>
      </c>
      <c r="E51" s="66" t="s">
        <v>1910</v>
      </c>
      <c r="F51" s="54" t="s">
        <v>1912</v>
      </c>
      <c r="G51" s="66" t="s">
        <v>221</v>
      </c>
      <c r="H51" s="181">
        <v>19702</v>
      </c>
      <c r="I51" s="66">
        <v>1</v>
      </c>
      <c r="J51" s="54" t="s">
        <v>1004</v>
      </c>
      <c r="K51" s="246" t="s">
        <v>221</v>
      </c>
      <c r="L51" s="227" t="s">
        <v>1911</v>
      </c>
      <c r="M51" s="237" t="s">
        <v>873</v>
      </c>
      <c r="N51" s="54">
        <v>1</v>
      </c>
      <c r="O51" s="54">
        <v>1</v>
      </c>
      <c r="P51" s="66">
        <v>0</v>
      </c>
      <c r="Q51" s="66" t="s">
        <v>1381</v>
      </c>
    </row>
    <row r="52" spans="1:17" s="187" customFormat="1" ht="24.75" customHeight="1" x14ac:dyDescent="0.25">
      <c r="A52" s="196"/>
      <c r="B52" s="196"/>
      <c r="C52" s="196"/>
      <c r="D52" s="195">
        <f>SUM(D4:D51)</f>
        <v>64</v>
      </c>
      <c r="E52" s="196"/>
      <c r="F52" s="196"/>
      <c r="G52" s="196"/>
      <c r="H52" s="197">
        <f>SUM(H4:H51)</f>
        <v>2264027.02</v>
      </c>
      <c r="I52" s="195">
        <f>SUM(I4:I51)</f>
        <v>65</v>
      </c>
      <c r="J52" s="196"/>
      <c r="K52" s="248"/>
      <c r="L52" s="196"/>
      <c r="M52" s="251"/>
      <c r="N52" s="196"/>
      <c r="O52" s="196"/>
      <c r="P52" s="196"/>
      <c r="Q52" s="196"/>
    </row>
  </sheetData>
  <mergeCells count="50">
    <mergeCell ref="H28:H29"/>
    <mergeCell ref="H18:H19"/>
    <mergeCell ref="F18:F19"/>
    <mergeCell ref="G18:G19"/>
    <mergeCell ref="G14:G15"/>
    <mergeCell ref="F22:F24"/>
    <mergeCell ref="G22:G24"/>
    <mergeCell ref="D14:D15"/>
    <mergeCell ref="N2:N3"/>
    <mergeCell ref="O2:O3"/>
    <mergeCell ref="P2:P3"/>
    <mergeCell ref="Q2:Q3"/>
    <mergeCell ref="E14:E15"/>
    <mergeCell ref="F14:F15"/>
    <mergeCell ref="E5:E6"/>
    <mergeCell ref="F5:F6"/>
    <mergeCell ref="D10:D11"/>
    <mergeCell ref="E10:E11"/>
    <mergeCell ref="F10:F11"/>
    <mergeCell ref="A1:Q1"/>
    <mergeCell ref="A2:A3"/>
    <mergeCell ref="C2:C3"/>
    <mergeCell ref="D2:D3"/>
    <mergeCell ref="E2:E3"/>
    <mergeCell ref="F2:F3"/>
    <mergeCell ref="G2:G3"/>
    <mergeCell ref="H2:H3"/>
    <mergeCell ref="I2:K2"/>
    <mergeCell ref="M2:M3"/>
    <mergeCell ref="D22:D24"/>
    <mergeCell ref="E22:E24"/>
    <mergeCell ref="B18:B19"/>
    <mergeCell ref="C18:C19"/>
    <mergeCell ref="D18:D19"/>
    <mergeCell ref="E18:E19"/>
    <mergeCell ref="B44:B46"/>
    <mergeCell ref="D28:D29"/>
    <mergeCell ref="E28:E29"/>
    <mergeCell ref="F28:F29"/>
    <mergeCell ref="B28:B30"/>
    <mergeCell ref="B39:B42"/>
    <mergeCell ref="B4:B7"/>
    <mergeCell ref="B14:B16"/>
    <mergeCell ref="B32:B34"/>
    <mergeCell ref="B10:B11"/>
    <mergeCell ref="C10:C11"/>
    <mergeCell ref="C14:C15"/>
    <mergeCell ref="C22:C24"/>
    <mergeCell ref="B22:B24"/>
    <mergeCell ref="C28:C29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5" fitToHeight="0" orientation="landscape" r:id="rId1"/>
  <ignoredErrors>
    <ignoredError sqref="K3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76"/>
  <sheetViews>
    <sheetView zoomScale="70" zoomScaleNormal="70" workbookViewId="0">
      <pane ySplit="4" topLeftCell="A5" activePane="bottomLeft" state="frozen"/>
      <selection activeCell="B16" sqref="B16"/>
      <selection pane="bottomLeft" activeCell="R42" sqref="R42"/>
    </sheetView>
  </sheetViews>
  <sheetFormatPr defaultRowHeight="18.75" x14ac:dyDescent="0.25"/>
  <cols>
    <col min="1" max="1" width="9.42578125" style="274" bestFit="1" customWidth="1"/>
    <col min="2" max="2" width="16" style="300" customWidth="1"/>
    <col min="3" max="3" width="31.28515625" style="274" customWidth="1"/>
    <col min="4" max="4" width="7.7109375" style="274" bestFit="1" customWidth="1"/>
    <col min="5" max="5" width="28" style="274" customWidth="1"/>
    <col min="6" max="6" width="30.140625" style="302" customWidth="1"/>
    <col min="7" max="7" width="20.7109375" style="274" customWidth="1"/>
    <col min="8" max="8" width="23.42578125" style="305" bestFit="1" customWidth="1"/>
    <col min="9" max="9" width="7.28515625" style="274" bestFit="1" customWidth="1"/>
    <col min="10" max="10" width="19.85546875" style="274" customWidth="1"/>
    <col min="11" max="11" width="13" style="274" bestFit="1" customWidth="1"/>
    <col min="12" max="12" width="21.28515625" style="274" customWidth="1"/>
    <col min="13" max="13" width="18" style="274" customWidth="1"/>
    <col min="14" max="14" width="9.42578125" style="274" customWidth="1"/>
    <col min="15" max="15" width="15" style="274" customWidth="1"/>
    <col min="16" max="16" width="16.5703125" style="274" customWidth="1"/>
    <col min="17" max="17" width="22.28515625" style="274" customWidth="1"/>
    <col min="18" max="18" width="10.28515625" style="319" customWidth="1"/>
    <col min="19" max="23" width="9.140625" style="274"/>
    <col min="24" max="24" width="12" style="274" bestFit="1" customWidth="1"/>
    <col min="25" max="16384" width="9.140625" style="274"/>
  </cols>
  <sheetData>
    <row r="1" spans="1:18" ht="21" x14ac:dyDescent="0.25">
      <c r="A1" s="577" t="s">
        <v>1868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329"/>
    </row>
    <row r="2" spans="1:18" x14ac:dyDescent="0.25">
      <c r="A2" s="578" t="s">
        <v>798</v>
      </c>
      <c r="B2" s="578"/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78"/>
      <c r="O2" s="578"/>
      <c r="P2" s="578"/>
      <c r="Q2" s="578"/>
      <c r="R2" s="328"/>
    </row>
    <row r="3" spans="1:18" s="277" customFormat="1" ht="42.75" customHeight="1" x14ac:dyDescent="0.25">
      <c r="A3" s="579" t="s">
        <v>0</v>
      </c>
      <c r="B3" s="275"/>
      <c r="C3" s="579" t="s">
        <v>1</v>
      </c>
      <c r="D3" s="579" t="s">
        <v>2</v>
      </c>
      <c r="E3" s="579" t="s">
        <v>10</v>
      </c>
      <c r="F3" s="584" t="s">
        <v>3</v>
      </c>
      <c r="G3" s="579" t="s">
        <v>4</v>
      </c>
      <c r="H3" s="580" t="s">
        <v>5</v>
      </c>
      <c r="I3" s="581" t="s">
        <v>9</v>
      </c>
      <c r="J3" s="581"/>
      <c r="K3" s="581"/>
      <c r="L3" s="315"/>
      <c r="M3" s="582" t="s">
        <v>1025</v>
      </c>
      <c r="N3" s="583" t="s">
        <v>6</v>
      </c>
      <c r="O3" s="583" t="s">
        <v>7</v>
      </c>
      <c r="P3" s="583" t="s">
        <v>8</v>
      </c>
      <c r="Q3" s="583" t="s">
        <v>836</v>
      </c>
      <c r="R3" s="327"/>
    </row>
    <row r="4" spans="1:18" s="277" customFormat="1" ht="39" customHeight="1" x14ac:dyDescent="0.25">
      <c r="A4" s="579"/>
      <c r="B4" s="275"/>
      <c r="C4" s="579"/>
      <c r="D4" s="579"/>
      <c r="E4" s="579"/>
      <c r="F4" s="584"/>
      <c r="G4" s="579"/>
      <c r="H4" s="580"/>
      <c r="I4" s="276" t="s">
        <v>11</v>
      </c>
      <c r="J4" s="276" t="s">
        <v>676</v>
      </c>
      <c r="K4" s="276" t="s">
        <v>12</v>
      </c>
      <c r="L4" s="358" t="s">
        <v>1900</v>
      </c>
      <c r="M4" s="582"/>
      <c r="N4" s="583"/>
      <c r="O4" s="583"/>
      <c r="P4" s="583"/>
      <c r="Q4" s="583"/>
      <c r="R4" s="327"/>
    </row>
    <row r="5" spans="1:18" x14ac:dyDescent="0.3">
      <c r="A5" s="263">
        <v>1</v>
      </c>
      <c r="B5" s="278"/>
      <c r="C5" s="263" t="s">
        <v>790</v>
      </c>
      <c r="D5" s="263">
        <v>1</v>
      </c>
      <c r="E5" s="263" t="s">
        <v>221</v>
      </c>
      <c r="F5" s="265" t="s">
        <v>1252</v>
      </c>
      <c r="G5" s="263" t="s">
        <v>221</v>
      </c>
      <c r="H5" s="266">
        <v>4585.42</v>
      </c>
      <c r="I5" s="263">
        <v>1</v>
      </c>
      <c r="J5" s="263" t="s">
        <v>876</v>
      </c>
      <c r="K5" s="263" t="s">
        <v>221</v>
      </c>
      <c r="L5" s="359" t="s">
        <v>1980</v>
      </c>
      <c r="M5" s="263" t="s">
        <v>873</v>
      </c>
      <c r="N5" s="263">
        <v>1</v>
      </c>
      <c r="O5" s="263">
        <v>1</v>
      </c>
      <c r="P5" s="263">
        <v>0</v>
      </c>
      <c r="Q5" s="263" t="s">
        <v>1371</v>
      </c>
      <c r="R5" s="320"/>
    </row>
    <row r="6" spans="1:18" ht="56.25" x14ac:dyDescent="0.25">
      <c r="A6" s="263">
        <v>2</v>
      </c>
      <c r="B6" s="278"/>
      <c r="C6" s="263" t="s">
        <v>796</v>
      </c>
      <c r="D6" s="263">
        <v>11</v>
      </c>
      <c r="E6" s="263" t="s">
        <v>1288</v>
      </c>
      <c r="F6" s="265" t="s">
        <v>1289</v>
      </c>
      <c r="G6" s="263" t="s">
        <v>221</v>
      </c>
      <c r="H6" s="266">
        <v>37950</v>
      </c>
      <c r="I6" s="263">
        <v>11</v>
      </c>
      <c r="J6" s="263" t="s">
        <v>876</v>
      </c>
      <c r="K6" s="263" t="s">
        <v>221</v>
      </c>
      <c r="L6" s="311" t="s">
        <v>1999</v>
      </c>
      <c r="M6" s="263" t="s">
        <v>873</v>
      </c>
      <c r="N6" s="263">
        <v>11</v>
      </c>
      <c r="O6" s="263">
        <v>11</v>
      </c>
      <c r="P6" s="263">
        <v>0</v>
      </c>
      <c r="Q6" s="263" t="s">
        <v>1371</v>
      </c>
      <c r="R6" s="320"/>
    </row>
    <row r="7" spans="1:18" ht="56.25" x14ac:dyDescent="0.25">
      <c r="A7" s="263">
        <v>3</v>
      </c>
      <c r="B7" s="278"/>
      <c r="C7" s="263" t="s">
        <v>795</v>
      </c>
      <c r="D7" s="263">
        <v>3</v>
      </c>
      <c r="E7" s="263" t="s">
        <v>886</v>
      </c>
      <c r="F7" s="281" t="s">
        <v>1252</v>
      </c>
      <c r="G7" s="263" t="s">
        <v>221</v>
      </c>
      <c r="H7" s="266">
        <v>17815.37</v>
      </c>
      <c r="I7" s="263">
        <v>3</v>
      </c>
      <c r="J7" s="263" t="s">
        <v>876</v>
      </c>
      <c r="K7" s="263" t="s">
        <v>221</v>
      </c>
      <c r="L7" s="311" t="s">
        <v>1988</v>
      </c>
      <c r="M7" s="263" t="s">
        <v>873</v>
      </c>
      <c r="N7" s="263">
        <v>3</v>
      </c>
      <c r="O7" s="263">
        <v>3</v>
      </c>
      <c r="P7" s="263">
        <v>0</v>
      </c>
      <c r="Q7" s="263" t="s">
        <v>1371</v>
      </c>
      <c r="R7" s="320"/>
    </row>
    <row r="8" spans="1:18" ht="56.25" x14ac:dyDescent="0.3">
      <c r="A8" s="263">
        <v>4</v>
      </c>
      <c r="B8" s="278"/>
      <c r="C8" s="263" t="s">
        <v>797</v>
      </c>
      <c r="D8" s="263">
        <v>35</v>
      </c>
      <c r="E8" s="263" t="s">
        <v>887</v>
      </c>
      <c r="F8" s="265" t="s">
        <v>1252</v>
      </c>
      <c r="G8" s="263" t="s">
        <v>221</v>
      </c>
      <c r="H8" s="266">
        <v>178255</v>
      </c>
      <c r="I8" s="263">
        <v>35</v>
      </c>
      <c r="J8" s="263" t="s">
        <v>876</v>
      </c>
      <c r="K8" s="263" t="s">
        <v>221</v>
      </c>
      <c r="L8" s="360" t="s">
        <v>2139</v>
      </c>
      <c r="M8" s="263" t="s">
        <v>873</v>
      </c>
      <c r="N8" s="263">
        <v>35</v>
      </c>
      <c r="O8" s="263">
        <v>35</v>
      </c>
      <c r="P8" s="263">
        <v>0</v>
      </c>
      <c r="Q8" s="263" t="s">
        <v>1371</v>
      </c>
      <c r="R8" s="320"/>
    </row>
    <row r="9" spans="1:18" ht="56.25" x14ac:dyDescent="0.25">
      <c r="A9" s="263">
        <v>5</v>
      </c>
      <c r="B9" s="278" t="s">
        <v>1364</v>
      </c>
      <c r="C9" s="263" t="s">
        <v>885</v>
      </c>
      <c r="D9" s="263">
        <v>4</v>
      </c>
      <c r="E9" s="263" t="s">
        <v>1298</v>
      </c>
      <c r="F9" s="265" t="s">
        <v>1252</v>
      </c>
      <c r="G9" s="263" t="s">
        <v>221</v>
      </c>
      <c r="H9" s="266">
        <v>16920</v>
      </c>
      <c r="I9" s="263">
        <v>4</v>
      </c>
      <c r="J9" s="263" t="s">
        <v>876</v>
      </c>
      <c r="K9" s="263" t="s">
        <v>221</v>
      </c>
      <c r="L9" s="361" t="s">
        <v>2143</v>
      </c>
      <c r="M9" s="263" t="s">
        <v>873</v>
      </c>
      <c r="N9" s="263">
        <v>4</v>
      </c>
      <c r="O9" s="263">
        <v>4</v>
      </c>
      <c r="P9" s="263">
        <v>0</v>
      </c>
      <c r="Q9" s="263" t="s">
        <v>1371</v>
      </c>
      <c r="R9" s="320"/>
    </row>
    <row r="10" spans="1:18" x14ac:dyDescent="0.3">
      <c r="A10" s="263">
        <v>6</v>
      </c>
      <c r="B10" s="278"/>
      <c r="C10" s="263" t="s">
        <v>885</v>
      </c>
      <c r="D10" s="263">
        <v>4</v>
      </c>
      <c r="E10" s="263" t="s">
        <v>1299</v>
      </c>
      <c r="F10" s="265" t="s">
        <v>1252</v>
      </c>
      <c r="G10" s="263" t="s">
        <v>221</v>
      </c>
      <c r="H10" s="266">
        <v>9760</v>
      </c>
      <c r="I10" s="263">
        <v>4</v>
      </c>
      <c r="J10" s="263" t="s">
        <v>876</v>
      </c>
      <c r="K10" s="263" t="s">
        <v>221</v>
      </c>
      <c r="L10" s="359" t="s">
        <v>2145</v>
      </c>
      <c r="M10" s="263" t="s">
        <v>873</v>
      </c>
      <c r="N10" s="263">
        <v>4</v>
      </c>
      <c r="O10" s="263">
        <v>4</v>
      </c>
      <c r="P10" s="263">
        <v>0</v>
      </c>
      <c r="Q10" s="263" t="s">
        <v>1371</v>
      </c>
      <c r="R10" s="320"/>
    </row>
    <row r="11" spans="1:18" x14ac:dyDescent="0.3">
      <c r="A11" s="263">
        <v>7</v>
      </c>
      <c r="B11" s="278"/>
      <c r="C11" s="263" t="s">
        <v>793</v>
      </c>
      <c r="D11" s="263">
        <v>1</v>
      </c>
      <c r="E11" s="263" t="s">
        <v>888</v>
      </c>
      <c r="F11" s="265" t="s">
        <v>1252</v>
      </c>
      <c r="G11" s="263" t="s">
        <v>221</v>
      </c>
      <c r="H11" s="266">
        <v>5558.28</v>
      </c>
      <c r="I11" s="263">
        <v>1</v>
      </c>
      <c r="J11" s="263" t="s">
        <v>876</v>
      </c>
      <c r="K11" s="263" t="s">
        <v>221</v>
      </c>
      <c r="L11" s="359" t="s">
        <v>2144</v>
      </c>
      <c r="M11" s="263" t="s">
        <v>873</v>
      </c>
      <c r="N11" s="263">
        <v>1</v>
      </c>
      <c r="O11" s="263">
        <v>1</v>
      </c>
      <c r="P11" s="263">
        <v>0</v>
      </c>
      <c r="Q11" s="263" t="s">
        <v>1371</v>
      </c>
      <c r="R11" s="320"/>
    </row>
    <row r="12" spans="1:18" s="283" customFormat="1" ht="37.5" x14ac:dyDescent="0.25">
      <c r="A12" s="263">
        <v>8</v>
      </c>
      <c r="B12" s="282"/>
      <c r="C12" s="35" t="s">
        <v>1337</v>
      </c>
      <c r="D12" s="35">
        <v>2</v>
      </c>
      <c r="E12" s="263" t="s">
        <v>221</v>
      </c>
      <c r="F12" s="265" t="s">
        <v>1252</v>
      </c>
      <c r="G12" s="263" t="s">
        <v>1338</v>
      </c>
      <c r="H12" s="266">
        <v>9057.7800000000007</v>
      </c>
      <c r="I12" s="35">
        <v>2</v>
      </c>
      <c r="J12" s="35" t="s">
        <v>876</v>
      </c>
      <c r="K12" s="263" t="s">
        <v>221</v>
      </c>
      <c r="L12" s="361" t="s">
        <v>2142</v>
      </c>
      <c r="M12" s="35" t="s">
        <v>873</v>
      </c>
      <c r="N12" s="35">
        <v>2</v>
      </c>
      <c r="O12" s="35">
        <v>2</v>
      </c>
      <c r="P12" s="35">
        <v>0</v>
      </c>
      <c r="Q12" s="263" t="s">
        <v>1371</v>
      </c>
      <c r="R12" s="308"/>
    </row>
    <row r="13" spans="1:18" s="283" customFormat="1" ht="37.5" x14ac:dyDescent="0.25">
      <c r="A13" s="263">
        <v>9</v>
      </c>
      <c r="B13" s="282"/>
      <c r="C13" s="35" t="s">
        <v>1337</v>
      </c>
      <c r="D13" s="35">
        <v>1</v>
      </c>
      <c r="E13" s="263" t="s">
        <v>221</v>
      </c>
      <c r="F13" s="265" t="s">
        <v>1252</v>
      </c>
      <c r="G13" s="263" t="s">
        <v>1339</v>
      </c>
      <c r="H13" s="266">
        <v>7203.49</v>
      </c>
      <c r="I13" s="35">
        <v>1</v>
      </c>
      <c r="J13" s="35" t="s">
        <v>876</v>
      </c>
      <c r="K13" s="263" t="s">
        <v>221</v>
      </c>
      <c r="L13" s="362" t="s">
        <v>2141</v>
      </c>
      <c r="M13" s="35" t="s">
        <v>873</v>
      </c>
      <c r="N13" s="35">
        <v>1</v>
      </c>
      <c r="O13" s="35">
        <v>1</v>
      </c>
      <c r="P13" s="35">
        <v>0</v>
      </c>
      <c r="Q13" s="263" t="s">
        <v>1371</v>
      </c>
      <c r="R13" s="308"/>
    </row>
    <row r="14" spans="1:18" s="283" customFormat="1" ht="37.5" x14ac:dyDescent="0.25">
      <c r="A14" s="263">
        <v>10</v>
      </c>
      <c r="B14" s="282"/>
      <c r="C14" s="35" t="s">
        <v>791</v>
      </c>
      <c r="D14" s="35">
        <v>2</v>
      </c>
      <c r="E14" s="263" t="s">
        <v>1301</v>
      </c>
      <c r="F14" s="265" t="s">
        <v>1303</v>
      </c>
      <c r="G14" s="263" t="s">
        <v>221</v>
      </c>
      <c r="H14" s="266">
        <v>3542</v>
      </c>
      <c r="I14" s="35">
        <v>2</v>
      </c>
      <c r="J14" s="35" t="s">
        <v>876</v>
      </c>
      <c r="K14" s="263" t="s">
        <v>221</v>
      </c>
      <c r="L14" s="311" t="s">
        <v>2138</v>
      </c>
      <c r="M14" s="35" t="s">
        <v>873</v>
      </c>
      <c r="N14" s="35">
        <v>2</v>
      </c>
      <c r="O14" s="35">
        <v>2</v>
      </c>
      <c r="P14" s="35">
        <v>0</v>
      </c>
      <c r="Q14" s="263" t="s">
        <v>1371</v>
      </c>
      <c r="R14" s="308"/>
    </row>
    <row r="15" spans="1:18" s="283" customFormat="1" x14ac:dyDescent="0.3">
      <c r="A15" s="263">
        <v>11</v>
      </c>
      <c r="B15" s="282"/>
      <c r="C15" s="35" t="s">
        <v>793</v>
      </c>
      <c r="D15" s="35">
        <v>1</v>
      </c>
      <c r="E15" s="35" t="s">
        <v>889</v>
      </c>
      <c r="F15" s="265" t="s">
        <v>1252</v>
      </c>
      <c r="G15" s="263" t="s">
        <v>221</v>
      </c>
      <c r="H15" s="261">
        <v>6441.09</v>
      </c>
      <c r="I15" s="35">
        <v>1</v>
      </c>
      <c r="J15" s="35" t="s">
        <v>876</v>
      </c>
      <c r="K15" s="263" t="s">
        <v>221</v>
      </c>
      <c r="L15" s="359" t="s">
        <v>2140</v>
      </c>
      <c r="M15" s="35" t="s">
        <v>873</v>
      </c>
      <c r="N15" s="35">
        <v>1</v>
      </c>
      <c r="O15" s="35">
        <v>1</v>
      </c>
      <c r="P15" s="35">
        <v>0</v>
      </c>
      <c r="Q15" s="263" t="s">
        <v>1371</v>
      </c>
      <c r="R15" s="308"/>
    </row>
    <row r="16" spans="1:18" s="283" customFormat="1" x14ac:dyDescent="0.3">
      <c r="A16" s="263">
        <v>12</v>
      </c>
      <c r="B16" s="282"/>
      <c r="C16" s="35" t="s">
        <v>790</v>
      </c>
      <c r="D16" s="35">
        <v>1</v>
      </c>
      <c r="E16" s="263" t="s">
        <v>221</v>
      </c>
      <c r="F16" s="265" t="s">
        <v>1252</v>
      </c>
      <c r="G16" s="263" t="s">
        <v>221</v>
      </c>
      <c r="H16" s="266">
        <v>4585.42</v>
      </c>
      <c r="I16" s="35">
        <v>1</v>
      </c>
      <c r="J16" s="35" t="s">
        <v>876</v>
      </c>
      <c r="K16" s="263" t="s">
        <v>221</v>
      </c>
      <c r="L16" s="359" t="s">
        <v>2146</v>
      </c>
      <c r="M16" s="35" t="s">
        <v>873</v>
      </c>
      <c r="N16" s="35">
        <v>1</v>
      </c>
      <c r="O16" s="35">
        <v>1</v>
      </c>
      <c r="P16" s="35">
        <v>0</v>
      </c>
      <c r="Q16" s="263" t="s">
        <v>1371</v>
      </c>
      <c r="R16" s="308"/>
    </row>
    <row r="17" spans="1:18" s="283" customFormat="1" ht="37.5" x14ac:dyDescent="0.3">
      <c r="A17" s="263">
        <v>13</v>
      </c>
      <c r="B17" s="282"/>
      <c r="C17" s="35" t="s">
        <v>790</v>
      </c>
      <c r="D17" s="35">
        <v>2</v>
      </c>
      <c r="E17" s="263" t="s">
        <v>221</v>
      </c>
      <c r="F17" s="265" t="s">
        <v>1252</v>
      </c>
      <c r="G17" s="263" t="s">
        <v>221</v>
      </c>
      <c r="H17" s="266">
        <v>9170.84</v>
      </c>
      <c r="I17" s="35">
        <v>2</v>
      </c>
      <c r="J17" s="35" t="s">
        <v>876</v>
      </c>
      <c r="K17" s="263" t="s">
        <v>221</v>
      </c>
      <c r="L17" s="360" t="s">
        <v>2147</v>
      </c>
      <c r="M17" s="35" t="s">
        <v>873</v>
      </c>
      <c r="N17" s="35">
        <v>2</v>
      </c>
      <c r="O17" s="35">
        <v>2</v>
      </c>
      <c r="P17" s="35">
        <v>0</v>
      </c>
      <c r="Q17" s="263" t="s">
        <v>1371</v>
      </c>
      <c r="R17" s="308"/>
    </row>
    <row r="18" spans="1:18" s="283" customFormat="1" x14ac:dyDescent="0.3">
      <c r="A18" s="263">
        <v>14</v>
      </c>
      <c r="B18" s="282"/>
      <c r="C18" s="35" t="s">
        <v>792</v>
      </c>
      <c r="D18" s="35">
        <v>2</v>
      </c>
      <c r="E18" s="263" t="s">
        <v>1300</v>
      </c>
      <c r="F18" s="265" t="s">
        <v>1252</v>
      </c>
      <c r="G18" s="263" t="s">
        <v>221</v>
      </c>
      <c r="H18" s="266">
        <v>31694</v>
      </c>
      <c r="I18" s="35">
        <v>2</v>
      </c>
      <c r="J18" s="35" t="s">
        <v>876</v>
      </c>
      <c r="K18" s="263" t="s">
        <v>221</v>
      </c>
      <c r="L18" s="359" t="s">
        <v>2170</v>
      </c>
      <c r="M18" s="35" t="s">
        <v>873</v>
      </c>
      <c r="N18" s="35">
        <v>2</v>
      </c>
      <c r="O18" s="35">
        <v>2</v>
      </c>
      <c r="P18" s="35">
        <v>0</v>
      </c>
      <c r="Q18" s="263" t="s">
        <v>1371</v>
      </c>
      <c r="R18" s="308"/>
    </row>
    <row r="19" spans="1:18" s="283" customFormat="1" x14ac:dyDescent="0.3">
      <c r="A19" s="263">
        <v>15</v>
      </c>
      <c r="B19" s="282"/>
      <c r="C19" s="35" t="s">
        <v>793</v>
      </c>
      <c r="D19" s="35">
        <v>1</v>
      </c>
      <c r="E19" s="35" t="s">
        <v>890</v>
      </c>
      <c r="F19" s="265" t="s">
        <v>1252</v>
      </c>
      <c r="G19" s="263" t="s">
        <v>221</v>
      </c>
      <c r="H19" s="261">
        <v>5302.71</v>
      </c>
      <c r="I19" s="35">
        <v>1</v>
      </c>
      <c r="J19" s="35" t="s">
        <v>876</v>
      </c>
      <c r="K19" s="263" t="s">
        <v>221</v>
      </c>
      <c r="L19" s="359" t="s">
        <v>2171</v>
      </c>
      <c r="M19" s="35" t="s">
        <v>873</v>
      </c>
      <c r="N19" s="35">
        <v>1</v>
      </c>
      <c r="O19" s="35">
        <v>1</v>
      </c>
      <c r="P19" s="35">
        <v>0</v>
      </c>
      <c r="Q19" s="263" t="s">
        <v>1371</v>
      </c>
      <c r="R19" s="308"/>
    </row>
    <row r="20" spans="1:18" s="283" customFormat="1" ht="37.5" x14ac:dyDescent="0.25">
      <c r="A20" s="263">
        <v>16</v>
      </c>
      <c r="B20" s="282"/>
      <c r="C20" s="35" t="s">
        <v>790</v>
      </c>
      <c r="D20" s="35">
        <v>2</v>
      </c>
      <c r="E20" s="280" t="s">
        <v>1302</v>
      </c>
      <c r="F20" s="284" t="s">
        <v>1304</v>
      </c>
      <c r="G20" s="263" t="s">
        <v>221</v>
      </c>
      <c r="H20" s="266">
        <v>7600</v>
      </c>
      <c r="I20" s="35">
        <v>2</v>
      </c>
      <c r="J20" s="35" t="s">
        <v>876</v>
      </c>
      <c r="K20" s="263" t="s">
        <v>221</v>
      </c>
      <c r="L20" s="361" t="s">
        <v>2153</v>
      </c>
      <c r="M20" s="35" t="s">
        <v>873</v>
      </c>
      <c r="N20" s="35">
        <v>2</v>
      </c>
      <c r="O20" s="35">
        <v>2</v>
      </c>
      <c r="P20" s="35">
        <v>0</v>
      </c>
      <c r="Q20" s="263" t="s">
        <v>1371</v>
      </c>
      <c r="R20" s="308"/>
    </row>
    <row r="21" spans="1:18" s="283" customFormat="1" x14ac:dyDescent="0.3">
      <c r="A21" s="263">
        <v>17</v>
      </c>
      <c r="B21" s="282"/>
      <c r="C21" s="35" t="s">
        <v>795</v>
      </c>
      <c r="D21" s="35">
        <v>1</v>
      </c>
      <c r="E21" s="35" t="s">
        <v>891</v>
      </c>
      <c r="F21" s="265" t="s">
        <v>221</v>
      </c>
      <c r="G21" s="263" t="s">
        <v>221</v>
      </c>
      <c r="H21" s="261">
        <v>3536.51</v>
      </c>
      <c r="I21" s="35">
        <v>1</v>
      </c>
      <c r="J21" s="35" t="s">
        <v>876</v>
      </c>
      <c r="K21" s="263" t="s">
        <v>221</v>
      </c>
      <c r="L21" s="359" t="s">
        <v>2165</v>
      </c>
      <c r="M21" s="35" t="s">
        <v>873</v>
      </c>
      <c r="N21" s="35">
        <v>1</v>
      </c>
      <c r="O21" s="35">
        <v>1</v>
      </c>
      <c r="P21" s="35">
        <v>0</v>
      </c>
      <c r="Q21" s="263" t="s">
        <v>1371</v>
      </c>
      <c r="R21" s="308"/>
    </row>
    <row r="22" spans="1:18" s="283" customFormat="1" x14ac:dyDescent="0.3">
      <c r="A22" s="263">
        <v>18</v>
      </c>
      <c r="B22" s="282"/>
      <c r="C22" s="35" t="s">
        <v>793</v>
      </c>
      <c r="D22" s="35">
        <v>1</v>
      </c>
      <c r="E22" s="35" t="s">
        <v>892</v>
      </c>
      <c r="F22" s="265"/>
      <c r="G22" s="263" t="s">
        <v>221</v>
      </c>
      <c r="H22" s="261">
        <v>6401</v>
      </c>
      <c r="I22" s="35">
        <v>1</v>
      </c>
      <c r="J22" s="35" t="s">
        <v>876</v>
      </c>
      <c r="K22" s="263" t="s">
        <v>221</v>
      </c>
      <c r="L22" s="359" t="s">
        <v>2127</v>
      </c>
      <c r="M22" s="35" t="s">
        <v>873</v>
      </c>
      <c r="N22" s="35">
        <v>1</v>
      </c>
      <c r="O22" s="35">
        <v>1</v>
      </c>
      <c r="P22" s="35">
        <v>0</v>
      </c>
      <c r="Q22" s="263" t="s">
        <v>1371</v>
      </c>
      <c r="R22" s="308"/>
    </row>
    <row r="23" spans="1:18" s="283" customFormat="1" ht="15" customHeight="1" x14ac:dyDescent="0.25">
      <c r="A23" s="263">
        <v>19</v>
      </c>
      <c r="B23" s="571" t="s">
        <v>953</v>
      </c>
      <c r="C23" s="35" t="s">
        <v>913</v>
      </c>
      <c r="D23" s="35">
        <v>1</v>
      </c>
      <c r="E23" s="35" t="s">
        <v>893</v>
      </c>
      <c r="F23" s="265" t="s">
        <v>221</v>
      </c>
      <c r="G23" s="263" t="s">
        <v>221</v>
      </c>
      <c r="H23" s="261">
        <v>45692</v>
      </c>
      <c r="I23" s="35">
        <v>1</v>
      </c>
      <c r="J23" s="35" t="s">
        <v>876</v>
      </c>
      <c r="K23" s="263" t="s">
        <v>221</v>
      </c>
      <c r="L23" s="363" t="s">
        <v>2154</v>
      </c>
      <c r="M23" s="35" t="s">
        <v>873</v>
      </c>
      <c r="N23" s="35">
        <v>1</v>
      </c>
      <c r="O23" s="35">
        <v>1</v>
      </c>
      <c r="P23" s="35">
        <v>0</v>
      </c>
      <c r="Q23" s="263" t="s">
        <v>1371</v>
      </c>
      <c r="R23" s="308"/>
    </row>
    <row r="24" spans="1:18" s="283" customFormat="1" x14ac:dyDescent="0.3">
      <c r="A24" s="263">
        <v>20</v>
      </c>
      <c r="B24" s="571"/>
      <c r="C24" s="35" t="s">
        <v>913</v>
      </c>
      <c r="D24" s="35">
        <v>1</v>
      </c>
      <c r="E24" s="35" t="s">
        <v>893</v>
      </c>
      <c r="F24" s="265" t="s">
        <v>221</v>
      </c>
      <c r="G24" s="263" t="s">
        <v>221</v>
      </c>
      <c r="H24" s="261">
        <v>45692</v>
      </c>
      <c r="I24" s="35">
        <v>1</v>
      </c>
      <c r="J24" s="35" t="s">
        <v>876</v>
      </c>
      <c r="K24" s="263" t="s">
        <v>221</v>
      </c>
      <c r="L24" s="359" t="s">
        <v>2155</v>
      </c>
      <c r="M24" s="35" t="s">
        <v>873</v>
      </c>
      <c r="N24" s="35">
        <v>1</v>
      </c>
      <c r="O24" s="35">
        <v>1</v>
      </c>
      <c r="P24" s="35">
        <v>0</v>
      </c>
      <c r="Q24" s="263" t="s">
        <v>1371</v>
      </c>
      <c r="R24" s="308"/>
    </row>
    <row r="25" spans="1:18" s="283" customFormat="1" x14ac:dyDescent="0.25">
      <c r="A25" s="263">
        <v>21</v>
      </c>
      <c r="B25" s="571"/>
      <c r="C25" s="35" t="s">
        <v>913</v>
      </c>
      <c r="D25" s="35">
        <v>1</v>
      </c>
      <c r="E25" s="35" t="s">
        <v>894</v>
      </c>
      <c r="F25" s="265" t="s">
        <v>221</v>
      </c>
      <c r="G25" s="263" t="s">
        <v>221</v>
      </c>
      <c r="H25" s="261">
        <v>29466</v>
      </c>
      <c r="I25" s="35">
        <v>1</v>
      </c>
      <c r="J25" s="35" t="s">
        <v>876</v>
      </c>
      <c r="K25" s="263" t="s">
        <v>221</v>
      </c>
      <c r="L25" s="361" t="s">
        <v>2156</v>
      </c>
      <c r="M25" s="35" t="s">
        <v>873</v>
      </c>
      <c r="N25" s="35">
        <v>1</v>
      </c>
      <c r="O25" s="35">
        <v>1</v>
      </c>
      <c r="P25" s="35">
        <v>0</v>
      </c>
      <c r="Q25" s="263" t="s">
        <v>1371</v>
      </c>
      <c r="R25" s="308"/>
    </row>
    <row r="26" spans="1:18" s="283" customFormat="1" x14ac:dyDescent="0.25">
      <c r="A26" s="263">
        <v>22</v>
      </c>
      <c r="B26" s="571"/>
      <c r="C26" s="35" t="s">
        <v>913</v>
      </c>
      <c r="D26" s="35">
        <v>1</v>
      </c>
      <c r="E26" s="35" t="s">
        <v>894</v>
      </c>
      <c r="F26" s="265" t="s">
        <v>221</v>
      </c>
      <c r="G26" s="263" t="s">
        <v>221</v>
      </c>
      <c r="H26" s="261">
        <v>29466</v>
      </c>
      <c r="I26" s="35">
        <v>1</v>
      </c>
      <c r="J26" s="35" t="s">
        <v>876</v>
      </c>
      <c r="K26" s="263" t="s">
        <v>221</v>
      </c>
      <c r="L26" s="363" t="s">
        <v>2157</v>
      </c>
      <c r="M26" s="35" t="s">
        <v>873</v>
      </c>
      <c r="N26" s="35">
        <v>1</v>
      </c>
      <c r="O26" s="35">
        <v>1</v>
      </c>
      <c r="P26" s="35">
        <v>0</v>
      </c>
      <c r="Q26" s="263" t="s">
        <v>1371</v>
      </c>
      <c r="R26" s="308"/>
    </row>
    <row r="27" spans="1:18" s="283" customFormat="1" x14ac:dyDescent="0.3">
      <c r="A27" s="263">
        <v>23</v>
      </c>
      <c r="B27" s="571"/>
      <c r="C27" s="35" t="s">
        <v>913</v>
      </c>
      <c r="D27" s="35">
        <v>1</v>
      </c>
      <c r="E27" s="35" t="s">
        <v>895</v>
      </c>
      <c r="F27" s="265" t="s">
        <v>221</v>
      </c>
      <c r="G27" s="263" t="s">
        <v>221</v>
      </c>
      <c r="H27" s="261">
        <v>32760</v>
      </c>
      <c r="I27" s="35">
        <v>1</v>
      </c>
      <c r="J27" s="35" t="s">
        <v>876</v>
      </c>
      <c r="K27" s="263" t="s">
        <v>221</v>
      </c>
      <c r="L27" s="359" t="s">
        <v>2158</v>
      </c>
      <c r="M27" s="35" t="s">
        <v>873</v>
      </c>
      <c r="N27" s="35">
        <v>1</v>
      </c>
      <c r="O27" s="35">
        <v>1</v>
      </c>
      <c r="P27" s="35">
        <v>0</v>
      </c>
      <c r="Q27" s="263" t="s">
        <v>1371</v>
      </c>
      <c r="R27" s="308"/>
    </row>
    <row r="28" spans="1:18" s="283" customFormat="1" x14ac:dyDescent="0.3">
      <c r="A28" s="263">
        <v>24</v>
      </c>
      <c r="B28" s="571"/>
      <c r="C28" s="35" t="s">
        <v>913</v>
      </c>
      <c r="D28" s="35">
        <v>1</v>
      </c>
      <c r="E28" s="35" t="s">
        <v>895</v>
      </c>
      <c r="F28" s="265" t="s">
        <v>221</v>
      </c>
      <c r="G28" s="263" t="s">
        <v>221</v>
      </c>
      <c r="H28" s="261">
        <v>32760</v>
      </c>
      <c r="I28" s="35">
        <v>1</v>
      </c>
      <c r="J28" s="35" t="s">
        <v>876</v>
      </c>
      <c r="K28" s="263" t="s">
        <v>221</v>
      </c>
      <c r="L28" s="359" t="s">
        <v>2166</v>
      </c>
      <c r="M28" s="35" t="s">
        <v>873</v>
      </c>
      <c r="N28" s="35">
        <v>1</v>
      </c>
      <c r="O28" s="35">
        <v>1</v>
      </c>
      <c r="P28" s="35">
        <v>0</v>
      </c>
      <c r="Q28" s="263" t="s">
        <v>1371</v>
      </c>
      <c r="R28" s="308"/>
    </row>
    <row r="29" spans="1:18" s="283" customFormat="1" x14ac:dyDescent="0.25">
      <c r="A29" s="263">
        <v>25</v>
      </c>
      <c r="B29" s="571"/>
      <c r="C29" s="35" t="s">
        <v>913</v>
      </c>
      <c r="D29" s="35">
        <v>1</v>
      </c>
      <c r="E29" s="35" t="s">
        <v>896</v>
      </c>
      <c r="F29" s="265" t="s">
        <v>221</v>
      </c>
      <c r="G29" s="263" t="s">
        <v>221</v>
      </c>
      <c r="H29" s="261">
        <v>38500</v>
      </c>
      <c r="I29" s="35">
        <v>1</v>
      </c>
      <c r="J29" s="35" t="s">
        <v>876</v>
      </c>
      <c r="K29" s="263" t="s">
        <v>221</v>
      </c>
      <c r="L29" s="363" t="s">
        <v>2159</v>
      </c>
      <c r="M29" s="35" t="s">
        <v>873</v>
      </c>
      <c r="N29" s="35">
        <v>1</v>
      </c>
      <c r="O29" s="35">
        <v>1</v>
      </c>
      <c r="P29" s="35">
        <v>0</v>
      </c>
      <c r="Q29" s="263" t="s">
        <v>1371</v>
      </c>
      <c r="R29" s="308"/>
    </row>
    <row r="30" spans="1:18" s="283" customFormat="1" ht="56.25" x14ac:dyDescent="0.3">
      <c r="A30" s="263">
        <v>26</v>
      </c>
      <c r="B30" s="282"/>
      <c r="C30" s="35" t="s">
        <v>1192</v>
      </c>
      <c r="D30" s="35">
        <v>33</v>
      </c>
      <c r="E30" s="263" t="s">
        <v>1291</v>
      </c>
      <c r="F30" s="265" t="s">
        <v>1292</v>
      </c>
      <c r="G30" s="263" t="s">
        <v>221</v>
      </c>
      <c r="H30" s="266">
        <v>29120</v>
      </c>
      <c r="I30" s="35">
        <v>33</v>
      </c>
      <c r="J30" s="35" t="s">
        <v>876</v>
      </c>
      <c r="K30" s="263" t="s">
        <v>221</v>
      </c>
      <c r="L30" s="360" t="s">
        <v>1985</v>
      </c>
      <c r="M30" s="35" t="s">
        <v>873</v>
      </c>
      <c r="N30" s="35">
        <v>33</v>
      </c>
      <c r="O30" s="35">
        <v>33</v>
      </c>
      <c r="P30" s="35">
        <v>0</v>
      </c>
      <c r="Q30" s="263" t="s">
        <v>1371</v>
      </c>
      <c r="R30" s="308"/>
    </row>
    <row r="31" spans="1:18" s="283" customFormat="1" x14ac:dyDescent="0.3">
      <c r="A31" s="263">
        <v>27</v>
      </c>
      <c r="B31" s="282"/>
      <c r="C31" s="35" t="s">
        <v>790</v>
      </c>
      <c r="D31" s="35">
        <v>1</v>
      </c>
      <c r="E31" s="285">
        <v>33338</v>
      </c>
      <c r="F31" s="265" t="s">
        <v>1252</v>
      </c>
      <c r="G31" s="263" t="s">
        <v>221</v>
      </c>
      <c r="H31" s="266">
        <v>4585.42</v>
      </c>
      <c r="I31" s="35">
        <v>1</v>
      </c>
      <c r="J31" s="35" t="s">
        <v>876</v>
      </c>
      <c r="K31" s="263" t="s">
        <v>221</v>
      </c>
      <c r="L31" s="359" t="s">
        <v>1984</v>
      </c>
      <c r="M31" s="35" t="s">
        <v>873</v>
      </c>
      <c r="N31" s="35">
        <v>1</v>
      </c>
      <c r="O31" s="35">
        <v>1</v>
      </c>
      <c r="P31" s="35">
        <v>0</v>
      </c>
      <c r="Q31" s="263" t="s">
        <v>1371</v>
      </c>
      <c r="R31" s="308"/>
    </row>
    <row r="32" spans="1:18" s="283" customFormat="1" ht="37.5" x14ac:dyDescent="0.25">
      <c r="A32" s="263">
        <v>28</v>
      </c>
      <c r="B32" s="282"/>
      <c r="C32" s="35" t="s">
        <v>792</v>
      </c>
      <c r="D32" s="35">
        <v>2</v>
      </c>
      <c r="E32" s="263" t="s">
        <v>221</v>
      </c>
      <c r="F32" s="265" t="s">
        <v>1358</v>
      </c>
      <c r="G32" s="263" t="s">
        <v>1359</v>
      </c>
      <c r="H32" s="266">
        <v>36610</v>
      </c>
      <c r="I32" s="35">
        <v>2</v>
      </c>
      <c r="J32" s="35" t="s">
        <v>876</v>
      </c>
      <c r="K32" s="263" t="s">
        <v>221</v>
      </c>
      <c r="L32" s="311" t="s">
        <v>1986</v>
      </c>
      <c r="M32" s="35" t="s">
        <v>873</v>
      </c>
      <c r="N32" s="35">
        <v>2</v>
      </c>
      <c r="O32" s="35">
        <v>2</v>
      </c>
      <c r="P32" s="35">
        <v>0</v>
      </c>
      <c r="Q32" s="263" t="s">
        <v>1371</v>
      </c>
      <c r="R32" s="308"/>
    </row>
    <row r="33" spans="1:18" s="283" customFormat="1" ht="56.25" x14ac:dyDescent="0.25">
      <c r="A33" s="263">
        <v>29</v>
      </c>
      <c r="B33" s="282"/>
      <c r="C33" s="35" t="s">
        <v>795</v>
      </c>
      <c r="D33" s="35">
        <v>3</v>
      </c>
      <c r="E33" s="35" t="s">
        <v>897</v>
      </c>
      <c r="F33" s="265" t="s">
        <v>1252</v>
      </c>
      <c r="G33" s="263" t="s">
        <v>221</v>
      </c>
      <c r="H33" s="261">
        <v>17590</v>
      </c>
      <c r="I33" s="35">
        <v>3</v>
      </c>
      <c r="J33" s="35" t="s">
        <v>876</v>
      </c>
      <c r="K33" s="263" t="s">
        <v>221</v>
      </c>
      <c r="L33" s="311" t="s">
        <v>1987</v>
      </c>
      <c r="M33" s="35" t="s">
        <v>873</v>
      </c>
      <c r="N33" s="35">
        <v>3</v>
      </c>
      <c r="O33" s="35">
        <v>3</v>
      </c>
      <c r="P33" s="35">
        <v>0</v>
      </c>
      <c r="Q33" s="263" t="s">
        <v>1371</v>
      </c>
      <c r="R33" s="308"/>
    </row>
    <row r="34" spans="1:18" s="283" customFormat="1" ht="37.5" x14ac:dyDescent="0.3">
      <c r="A34" s="263">
        <v>30</v>
      </c>
      <c r="B34" s="282"/>
      <c r="C34" s="35" t="s">
        <v>790</v>
      </c>
      <c r="D34" s="35">
        <v>2</v>
      </c>
      <c r="E34" s="35" t="s">
        <v>221</v>
      </c>
      <c r="F34" s="265" t="s">
        <v>1252</v>
      </c>
      <c r="G34" s="263" t="s">
        <v>221</v>
      </c>
      <c r="H34" s="266">
        <v>9170.84</v>
      </c>
      <c r="I34" s="35">
        <v>2</v>
      </c>
      <c r="J34" s="35" t="s">
        <v>876</v>
      </c>
      <c r="K34" s="263" t="s">
        <v>221</v>
      </c>
      <c r="L34" s="360" t="s">
        <v>2147</v>
      </c>
      <c r="M34" s="35" t="s">
        <v>873</v>
      </c>
      <c r="N34" s="35">
        <v>2</v>
      </c>
      <c r="O34" s="35">
        <v>2</v>
      </c>
      <c r="P34" s="35">
        <v>0</v>
      </c>
      <c r="Q34" s="263" t="s">
        <v>1371</v>
      </c>
      <c r="R34" s="308"/>
    </row>
    <row r="35" spans="1:18" s="283" customFormat="1" ht="56.25" x14ac:dyDescent="0.25">
      <c r="A35" s="263">
        <v>31</v>
      </c>
      <c r="B35" s="282"/>
      <c r="C35" s="35" t="s">
        <v>1187</v>
      </c>
      <c r="D35" s="35">
        <v>1</v>
      </c>
      <c r="E35" s="34" t="s">
        <v>1982</v>
      </c>
      <c r="F35" s="260" t="s">
        <v>1162</v>
      </c>
      <c r="G35" s="263" t="s">
        <v>221</v>
      </c>
      <c r="H35" s="261">
        <v>8387.2800000000007</v>
      </c>
      <c r="I35" s="35">
        <v>1</v>
      </c>
      <c r="J35" s="35" t="s">
        <v>876</v>
      </c>
      <c r="K35" s="263" t="s">
        <v>221</v>
      </c>
      <c r="L35" s="362" t="s">
        <v>1981</v>
      </c>
      <c r="M35" s="35" t="s">
        <v>855</v>
      </c>
      <c r="N35" s="35">
        <v>1</v>
      </c>
      <c r="O35" s="35">
        <v>1</v>
      </c>
      <c r="P35" s="35">
        <v>0</v>
      </c>
      <c r="Q35" s="263" t="s">
        <v>1371</v>
      </c>
      <c r="R35" s="308"/>
    </row>
    <row r="36" spans="1:18" s="283" customFormat="1" ht="37.5" x14ac:dyDescent="0.25">
      <c r="A36" s="263">
        <v>32</v>
      </c>
      <c r="B36" s="282"/>
      <c r="C36" s="35" t="s">
        <v>900</v>
      </c>
      <c r="D36" s="35">
        <v>1</v>
      </c>
      <c r="E36" s="263" t="s">
        <v>1323</v>
      </c>
      <c r="F36" s="265" t="s">
        <v>1262</v>
      </c>
      <c r="G36" s="263" t="s">
        <v>1324</v>
      </c>
      <c r="H36" s="266">
        <v>4650.1000000000004</v>
      </c>
      <c r="I36" s="35">
        <v>1</v>
      </c>
      <c r="J36" s="35" t="s">
        <v>876</v>
      </c>
      <c r="K36" s="35" t="s">
        <v>221</v>
      </c>
      <c r="L36" s="361" t="s">
        <v>2132</v>
      </c>
      <c r="M36" s="35" t="s">
        <v>855</v>
      </c>
      <c r="N36" s="35">
        <v>1</v>
      </c>
      <c r="O36" s="35">
        <v>1</v>
      </c>
      <c r="P36" s="35">
        <v>0</v>
      </c>
      <c r="Q36" s="263" t="s">
        <v>1371</v>
      </c>
      <c r="R36" s="308"/>
    </row>
    <row r="37" spans="1:18" s="283" customFormat="1" ht="37.5" x14ac:dyDescent="0.25">
      <c r="A37" s="263">
        <v>33</v>
      </c>
      <c r="B37" s="282"/>
      <c r="C37" s="35" t="s">
        <v>903</v>
      </c>
      <c r="D37" s="35">
        <v>1</v>
      </c>
      <c r="E37" s="263" t="s">
        <v>1346</v>
      </c>
      <c r="F37" s="265" t="s">
        <v>1262</v>
      </c>
      <c r="G37" s="263" t="s">
        <v>1347</v>
      </c>
      <c r="H37" s="266">
        <v>2366.67</v>
      </c>
      <c r="I37" s="35">
        <v>1</v>
      </c>
      <c r="J37" s="35" t="s">
        <v>876</v>
      </c>
      <c r="K37" s="35" t="s">
        <v>221</v>
      </c>
      <c r="L37" s="363" t="s">
        <v>2231</v>
      </c>
      <c r="M37" s="35" t="s">
        <v>855</v>
      </c>
      <c r="N37" s="35">
        <v>1</v>
      </c>
      <c r="O37" s="35">
        <v>1</v>
      </c>
      <c r="P37" s="35">
        <v>0</v>
      </c>
      <c r="Q37" s="263" t="s">
        <v>1371</v>
      </c>
      <c r="R37" s="308"/>
    </row>
    <row r="38" spans="1:18" s="283" customFormat="1" x14ac:dyDescent="0.3">
      <c r="A38" s="263">
        <v>34</v>
      </c>
      <c r="B38" s="282"/>
      <c r="C38" s="35" t="s">
        <v>1171</v>
      </c>
      <c r="D38" s="35">
        <v>1</v>
      </c>
      <c r="E38" s="35" t="s">
        <v>1172</v>
      </c>
      <c r="F38" s="260" t="s">
        <v>1173</v>
      </c>
      <c r="G38" s="263" t="s">
        <v>221</v>
      </c>
      <c r="H38" s="261">
        <v>25300</v>
      </c>
      <c r="I38" s="35">
        <v>1</v>
      </c>
      <c r="J38" s="35" t="s">
        <v>876</v>
      </c>
      <c r="K38" s="263" t="s">
        <v>221</v>
      </c>
      <c r="L38" s="359" t="s">
        <v>1983</v>
      </c>
      <c r="M38" s="35" t="s">
        <v>868</v>
      </c>
      <c r="N38" s="35">
        <v>1</v>
      </c>
      <c r="O38" s="35">
        <v>1</v>
      </c>
      <c r="P38" s="35">
        <v>0</v>
      </c>
      <c r="Q38" s="35" t="s">
        <v>881</v>
      </c>
      <c r="R38" s="308"/>
    </row>
    <row r="39" spans="1:18" s="283" customFormat="1" ht="37.5" x14ac:dyDescent="0.25">
      <c r="A39" s="263">
        <v>35</v>
      </c>
      <c r="B39" s="282"/>
      <c r="C39" s="35" t="s">
        <v>906</v>
      </c>
      <c r="D39" s="35">
        <v>1</v>
      </c>
      <c r="E39" s="263" t="s">
        <v>221</v>
      </c>
      <c r="F39" s="265" t="s">
        <v>1252</v>
      </c>
      <c r="G39" s="263" t="s">
        <v>1344</v>
      </c>
      <c r="H39" s="266">
        <v>5432.5</v>
      </c>
      <c r="I39" s="35">
        <v>1</v>
      </c>
      <c r="J39" s="35" t="s">
        <v>876</v>
      </c>
      <c r="K39" s="263" t="s">
        <v>221</v>
      </c>
      <c r="L39" s="311" t="s">
        <v>2232</v>
      </c>
      <c r="M39" s="35" t="s">
        <v>878</v>
      </c>
      <c r="N39" s="35">
        <v>1</v>
      </c>
      <c r="O39" s="35">
        <v>1</v>
      </c>
      <c r="P39" s="35">
        <v>0</v>
      </c>
      <c r="Q39" s="263" t="s">
        <v>1371</v>
      </c>
      <c r="R39" s="308"/>
    </row>
    <row r="40" spans="1:18" s="283" customFormat="1" ht="37.5" x14ac:dyDescent="0.25">
      <c r="A40" s="263">
        <v>36</v>
      </c>
      <c r="B40" s="282"/>
      <c r="C40" s="35" t="s">
        <v>908</v>
      </c>
      <c r="D40" s="35">
        <v>2</v>
      </c>
      <c r="E40" s="263" t="s">
        <v>1297</v>
      </c>
      <c r="F40" s="265" t="s">
        <v>1262</v>
      </c>
      <c r="G40" s="263" t="s">
        <v>221</v>
      </c>
      <c r="H40" s="266">
        <v>9300</v>
      </c>
      <c r="I40" s="35">
        <v>2</v>
      </c>
      <c r="J40" s="35" t="s">
        <v>876</v>
      </c>
      <c r="K40" s="263" t="s">
        <v>221</v>
      </c>
      <c r="L40" s="311" t="s">
        <v>2233</v>
      </c>
      <c r="M40" s="35" t="s">
        <v>878</v>
      </c>
      <c r="N40" s="35">
        <v>2</v>
      </c>
      <c r="O40" s="35">
        <v>2</v>
      </c>
      <c r="P40" s="35">
        <v>0</v>
      </c>
      <c r="Q40" s="263" t="s">
        <v>1371</v>
      </c>
      <c r="R40" s="308"/>
    </row>
    <row r="41" spans="1:18" s="283" customFormat="1" ht="56.25" x14ac:dyDescent="0.25">
      <c r="A41" s="263">
        <v>37</v>
      </c>
      <c r="B41" s="282"/>
      <c r="C41" s="35" t="s">
        <v>910</v>
      </c>
      <c r="D41" s="35">
        <v>17</v>
      </c>
      <c r="E41" s="35" t="s">
        <v>1229</v>
      </c>
      <c r="F41" s="260" t="s">
        <v>1230</v>
      </c>
      <c r="G41" s="263" t="s">
        <v>221</v>
      </c>
      <c r="H41" s="261">
        <v>87593</v>
      </c>
      <c r="I41" s="35">
        <v>17</v>
      </c>
      <c r="J41" s="35" t="s">
        <v>876</v>
      </c>
      <c r="K41" s="263" t="s">
        <v>221</v>
      </c>
      <c r="L41" s="311" t="s">
        <v>2209</v>
      </c>
      <c r="M41" s="35" t="s">
        <v>878</v>
      </c>
      <c r="N41" s="35">
        <v>17</v>
      </c>
      <c r="O41" s="35">
        <v>17</v>
      </c>
      <c r="P41" s="35">
        <v>0</v>
      </c>
      <c r="Q41" s="263" t="s">
        <v>1371</v>
      </c>
      <c r="R41" s="308"/>
    </row>
    <row r="42" spans="1:18" s="283" customFormat="1" ht="56.25" x14ac:dyDescent="0.25">
      <c r="A42" s="263">
        <v>38</v>
      </c>
      <c r="B42" s="282"/>
      <c r="C42" s="35" t="s">
        <v>910</v>
      </c>
      <c r="D42" s="35">
        <v>3</v>
      </c>
      <c r="E42" s="263" t="s">
        <v>1264</v>
      </c>
      <c r="F42" s="265" t="s">
        <v>1265</v>
      </c>
      <c r="G42" s="263" t="s">
        <v>1266</v>
      </c>
      <c r="H42" s="266">
        <v>14697.67</v>
      </c>
      <c r="I42" s="35">
        <v>3</v>
      </c>
      <c r="J42" s="35" t="s">
        <v>876</v>
      </c>
      <c r="K42" s="263" t="s">
        <v>221</v>
      </c>
      <c r="L42" s="311" t="s">
        <v>2131</v>
      </c>
      <c r="M42" s="35" t="s">
        <v>878</v>
      </c>
      <c r="N42" s="35">
        <v>3</v>
      </c>
      <c r="O42" s="35">
        <v>3</v>
      </c>
      <c r="P42" s="35">
        <v>0</v>
      </c>
      <c r="Q42" s="263" t="s">
        <v>1371</v>
      </c>
      <c r="R42" s="308"/>
    </row>
    <row r="43" spans="1:18" s="283" customFormat="1" ht="37.5" x14ac:dyDescent="0.25">
      <c r="A43" s="263">
        <v>39</v>
      </c>
      <c r="B43" s="282"/>
      <c r="C43" s="35" t="s">
        <v>1310</v>
      </c>
      <c r="D43" s="35">
        <v>2</v>
      </c>
      <c r="E43" s="263" t="s">
        <v>221</v>
      </c>
      <c r="F43" s="265" t="s">
        <v>221</v>
      </c>
      <c r="G43" s="263" t="s">
        <v>221</v>
      </c>
      <c r="H43" s="266" t="s">
        <v>221</v>
      </c>
      <c r="I43" s="35">
        <v>2</v>
      </c>
      <c r="J43" s="35" t="s">
        <v>876</v>
      </c>
      <c r="K43" s="263" t="s">
        <v>221</v>
      </c>
      <c r="L43" s="311" t="s">
        <v>2237</v>
      </c>
      <c r="M43" s="35" t="s">
        <v>878</v>
      </c>
      <c r="N43" s="35">
        <v>2</v>
      </c>
      <c r="O43" s="35">
        <v>2</v>
      </c>
      <c r="P43" s="35">
        <v>0</v>
      </c>
      <c r="Q43" s="35" t="s">
        <v>1311</v>
      </c>
      <c r="R43" s="308"/>
    </row>
    <row r="44" spans="1:18" s="283" customFormat="1" x14ac:dyDescent="0.3">
      <c r="A44" s="263">
        <v>40</v>
      </c>
      <c r="B44" s="282"/>
      <c r="C44" s="35" t="s">
        <v>1235</v>
      </c>
      <c r="D44" s="35">
        <v>1</v>
      </c>
      <c r="E44" s="35" t="s">
        <v>1236</v>
      </c>
      <c r="F44" s="260" t="s">
        <v>1237</v>
      </c>
      <c r="G44" s="263" t="s">
        <v>221</v>
      </c>
      <c r="H44" s="261">
        <v>44082</v>
      </c>
      <c r="I44" s="35">
        <v>1</v>
      </c>
      <c r="J44" s="35" t="s">
        <v>876</v>
      </c>
      <c r="K44" s="263" t="s">
        <v>221</v>
      </c>
      <c r="L44" s="359" t="s">
        <v>2130</v>
      </c>
      <c r="M44" s="35" t="s">
        <v>878</v>
      </c>
      <c r="N44" s="35">
        <v>1</v>
      </c>
      <c r="O44" s="35">
        <v>1</v>
      </c>
      <c r="P44" s="35">
        <v>0</v>
      </c>
      <c r="Q44" s="35"/>
      <c r="R44" s="308"/>
    </row>
    <row r="45" spans="1:18" s="283" customFormat="1" ht="37.5" x14ac:dyDescent="0.25">
      <c r="A45" s="263">
        <v>41</v>
      </c>
      <c r="B45" s="282"/>
      <c r="C45" s="35" t="s">
        <v>912</v>
      </c>
      <c r="D45" s="35">
        <v>1</v>
      </c>
      <c r="E45" s="263" t="s">
        <v>221</v>
      </c>
      <c r="F45" s="265" t="s">
        <v>221</v>
      </c>
      <c r="G45" s="263" t="s">
        <v>221</v>
      </c>
      <c r="H45" s="266" t="s">
        <v>221</v>
      </c>
      <c r="I45" s="35">
        <v>1</v>
      </c>
      <c r="J45" s="35" t="s">
        <v>876</v>
      </c>
      <c r="K45" s="263" t="s">
        <v>221</v>
      </c>
      <c r="L45" s="311" t="s">
        <v>2238</v>
      </c>
      <c r="M45" s="35" t="s">
        <v>878</v>
      </c>
      <c r="N45" s="35">
        <v>1</v>
      </c>
      <c r="O45" s="35">
        <v>1</v>
      </c>
      <c r="P45" s="35">
        <v>0</v>
      </c>
      <c r="Q45" s="35" t="s">
        <v>1343</v>
      </c>
      <c r="R45" s="308"/>
    </row>
    <row r="46" spans="1:18" s="283" customFormat="1" ht="37.5" x14ac:dyDescent="0.25">
      <c r="A46" s="263">
        <v>42</v>
      </c>
      <c r="B46" s="566" t="s">
        <v>794</v>
      </c>
      <c r="C46" s="35" t="s">
        <v>914</v>
      </c>
      <c r="D46" s="35">
        <v>1</v>
      </c>
      <c r="E46" s="263" t="s">
        <v>1341</v>
      </c>
      <c r="F46" s="265" t="s">
        <v>1308</v>
      </c>
      <c r="G46" s="263" t="s">
        <v>1342</v>
      </c>
      <c r="H46" s="266">
        <v>42500</v>
      </c>
      <c r="I46" s="35">
        <v>1</v>
      </c>
      <c r="J46" s="35" t="s">
        <v>876</v>
      </c>
      <c r="K46" s="263" t="s">
        <v>221</v>
      </c>
      <c r="L46" s="362" t="s">
        <v>2129</v>
      </c>
      <c r="M46" s="35" t="s">
        <v>878</v>
      </c>
      <c r="N46" s="35">
        <v>1</v>
      </c>
      <c r="O46" s="35">
        <v>1</v>
      </c>
      <c r="P46" s="35">
        <v>0</v>
      </c>
      <c r="Q46" s="263" t="s">
        <v>1371</v>
      </c>
      <c r="R46" s="308"/>
    </row>
    <row r="47" spans="1:18" s="283" customFormat="1" ht="90.75" customHeight="1" x14ac:dyDescent="0.25">
      <c r="A47" s="263">
        <v>43</v>
      </c>
      <c r="B47" s="566"/>
      <c r="C47" s="35" t="s">
        <v>915</v>
      </c>
      <c r="D47" s="35">
        <v>5</v>
      </c>
      <c r="E47" s="263" t="s">
        <v>1305</v>
      </c>
      <c r="F47" s="265" t="s">
        <v>1308</v>
      </c>
      <c r="G47" s="263" t="s">
        <v>221</v>
      </c>
      <c r="H47" s="266">
        <v>164275</v>
      </c>
      <c r="I47" s="35">
        <v>5</v>
      </c>
      <c r="J47" s="35" t="s">
        <v>876</v>
      </c>
      <c r="K47" s="263" t="s">
        <v>221</v>
      </c>
      <c r="L47" s="361" t="s">
        <v>2242</v>
      </c>
      <c r="M47" s="35" t="s">
        <v>878</v>
      </c>
      <c r="N47" s="35">
        <v>5</v>
      </c>
      <c r="O47" s="35">
        <v>5</v>
      </c>
      <c r="P47" s="35">
        <v>0</v>
      </c>
      <c r="Q47" s="263" t="s">
        <v>1371</v>
      </c>
      <c r="R47" s="308"/>
    </row>
    <row r="48" spans="1:18" s="283" customFormat="1" ht="37.5" x14ac:dyDescent="0.25">
      <c r="A48" s="263">
        <v>44</v>
      </c>
      <c r="B48" s="566"/>
      <c r="C48" s="35" t="s">
        <v>1306</v>
      </c>
      <c r="D48" s="35">
        <v>1</v>
      </c>
      <c r="E48" s="263" t="s">
        <v>1307</v>
      </c>
      <c r="F48" s="265" t="s">
        <v>1309</v>
      </c>
      <c r="G48" s="263"/>
      <c r="H48" s="266">
        <v>38500</v>
      </c>
      <c r="I48" s="35">
        <v>1</v>
      </c>
      <c r="J48" s="35" t="s">
        <v>876</v>
      </c>
      <c r="K48" s="263" t="s">
        <v>221</v>
      </c>
      <c r="L48" s="362" t="s">
        <v>2159</v>
      </c>
      <c r="M48" s="35" t="s">
        <v>878</v>
      </c>
      <c r="N48" s="35">
        <v>1</v>
      </c>
      <c r="O48" s="35">
        <v>1</v>
      </c>
      <c r="P48" s="35">
        <v>0</v>
      </c>
      <c r="Q48" s="263" t="s">
        <v>1371</v>
      </c>
      <c r="R48" s="308"/>
    </row>
    <row r="49" spans="1:18" s="283" customFormat="1" x14ac:dyDescent="0.25">
      <c r="A49" s="263">
        <v>45</v>
      </c>
      <c r="B49" s="264"/>
      <c r="C49" s="35" t="s">
        <v>829</v>
      </c>
      <c r="D49" s="35">
        <v>102</v>
      </c>
      <c r="E49" s="263" t="s">
        <v>221</v>
      </c>
      <c r="F49" s="265" t="s">
        <v>221</v>
      </c>
      <c r="G49" s="263" t="s">
        <v>221</v>
      </c>
      <c r="H49" s="261">
        <v>46831.26</v>
      </c>
      <c r="I49" s="35">
        <v>102</v>
      </c>
      <c r="J49" s="35" t="s">
        <v>876</v>
      </c>
      <c r="K49" s="263" t="s">
        <v>221</v>
      </c>
      <c r="L49" s="311" t="s">
        <v>2239</v>
      </c>
      <c r="M49" s="35" t="s">
        <v>878</v>
      </c>
      <c r="N49" s="35">
        <v>102</v>
      </c>
      <c r="O49" s="35">
        <v>102</v>
      </c>
      <c r="P49" s="35">
        <v>0</v>
      </c>
      <c r="Q49" s="35" t="s">
        <v>841</v>
      </c>
      <c r="R49" s="308"/>
    </row>
    <row r="50" spans="1:18" s="283" customFormat="1" x14ac:dyDescent="0.25">
      <c r="A50" s="263">
        <v>46</v>
      </c>
      <c r="B50" s="264"/>
      <c r="C50" s="35" t="s">
        <v>997</v>
      </c>
      <c r="D50" s="35">
        <v>1</v>
      </c>
      <c r="E50" s="263" t="s">
        <v>889</v>
      </c>
      <c r="F50" s="265" t="s">
        <v>221</v>
      </c>
      <c r="G50" s="263" t="s">
        <v>221</v>
      </c>
      <c r="H50" s="266">
        <v>6401</v>
      </c>
      <c r="I50" s="35">
        <v>1</v>
      </c>
      <c r="J50" s="35" t="s">
        <v>876</v>
      </c>
      <c r="K50" s="263" t="s">
        <v>221</v>
      </c>
      <c r="L50" s="311" t="s">
        <v>2240</v>
      </c>
      <c r="M50" s="35" t="s">
        <v>878</v>
      </c>
      <c r="N50" s="35">
        <v>1</v>
      </c>
      <c r="O50" s="35">
        <v>1</v>
      </c>
      <c r="P50" s="35">
        <v>0</v>
      </c>
      <c r="Q50" s="263" t="s">
        <v>1371</v>
      </c>
      <c r="R50" s="308"/>
    </row>
    <row r="51" spans="1:18" s="283" customFormat="1" x14ac:dyDescent="0.25">
      <c r="A51" s="263">
        <v>47</v>
      </c>
      <c r="B51" s="264"/>
      <c r="C51" s="35" t="s">
        <v>999</v>
      </c>
      <c r="D51" s="35">
        <v>1</v>
      </c>
      <c r="E51" s="263" t="s">
        <v>221</v>
      </c>
      <c r="F51" s="265" t="s">
        <v>221</v>
      </c>
      <c r="G51" s="263" t="s">
        <v>221</v>
      </c>
      <c r="H51" s="266">
        <v>4585.42</v>
      </c>
      <c r="I51" s="35">
        <v>1</v>
      </c>
      <c r="J51" s="35" t="s">
        <v>876</v>
      </c>
      <c r="K51" s="263" t="s">
        <v>221</v>
      </c>
      <c r="L51" s="311" t="s">
        <v>2241</v>
      </c>
      <c r="M51" s="35" t="s">
        <v>878</v>
      </c>
      <c r="N51" s="35">
        <v>1</v>
      </c>
      <c r="O51" s="35">
        <v>1</v>
      </c>
      <c r="P51" s="35">
        <v>0</v>
      </c>
      <c r="Q51" s="263" t="s">
        <v>1371</v>
      </c>
      <c r="R51" s="308"/>
    </row>
    <row r="52" spans="1:18" s="283" customFormat="1" ht="56.25" x14ac:dyDescent="0.3">
      <c r="A52" s="263">
        <v>48</v>
      </c>
      <c r="B52" s="264"/>
      <c r="C52" s="35" t="s">
        <v>1001</v>
      </c>
      <c r="D52" s="35">
        <v>12</v>
      </c>
      <c r="E52" s="263" t="s">
        <v>221</v>
      </c>
      <c r="F52" s="265" t="s">
        <v>1258</v>
      </c>
      <c r="G52" s="263" t="s">
        <v>1254</v>
      </c>
      <c r="H52" s="266">
        <v>4080</v>
      </c>
      <c r="I52" s="35">
        <v>12</v>
      </c>
      <c r="J52" s="35" t="s">
        <v>876</v>
      </c>
      <c r="K52" s="263" t="s">
        <v>221</v>
      </c>
      <c r="L52" s="360" t="s">
        <v>2172</v>
      </c>
      <c r="M52" s="35" t="s">
        <v>878</v>
      </c>
      <c r="N52" s="35">
        <v>12</v>
      </c>
      <c r="O52" s="35">
        <v>12</v>
      </c>
      <c r="P52" s="35">
        <v>0</v>
      </c>
      <c r="Q52" s="263" t="s">
        <v>1371</v>
      </c>
      <c r="R52" s="308"/>
    </row>
    <row r="53" spans="1:18" s="283" customFormat="1" x14ac:dyDescent="0.25">
      <c r="A53" s="263">
        <v>49</v>
      </c>
      <c r="B53" s="264"/>
      <c r="C53" s="35" t="s">
        <v>1002</v>
      </c>
      <c r="D53" s="35">
        <v>1</v>
      </c>
      <c r="E53" s="263" t="s">
        <v>221</v>
      </c>
      <c r="F53" s="265" t="s">
        <v>1340</v>
      </c>
      <c r="G53" s="263" t="s">
        <v>221</v>
      </c>
      <c r="H53" s="266">
        <v>3500</v>
      </c>
      <c r="I53" s="35">
        <v>1</v>
      </c>
      <c r="J53" s="35" t="s">
        <v>876</v>
      </c>
      <c r="K53" s="263" t="s">
        <v>221</v>
      </c>
      <c r="L53" s="311" t="s">
        <v>2236</v>
      </c>
      <c r="M53" s="35" t="s">
        <v>878</v>
      </c>
      <c r="N53" s="35">
        <v>1</v>
      </c>
      <c r="O53" s="35">
        <v>1</v>
      </c>
      <c r="P53" s="35">
        <v>0</v>
      </c>
      <c r="Q53" s="263" t="s">
        <v>1371</v>
      </c>
      <c r="R53" s="308"/>
    </row>
    <row r="54" spans="1:18" s="283" customFormat="1" ht="37.5" x14ac:dyDescent="0.25">
      <c r="A54" s="263">
        <v>50</v>
      </c>
      <c r="B54" s="264"/>
      <c r="C54" s="35" t="s">
        <v>1295</v>
      </c>
      <c r="D54" s="35">
        <v>2</v>
      </c>
      <c r="E54" s="263" t="s">
        <v>1296</v>
      </c>
      <c r="F54" s="265" t="s">
        <v>974</v>
      </c>
      <c r="G54" s="263" t="s">
        <v>221</v>
      </c>
      <c r="H54" s="266">
        <v>22321.42</v>
      </c>
      <c r="I54" s="35">
        <v>2</v>
      </c>
      <c r="J54" s="35" t="s">
        <v>876</v>
      </c>
      <c r="K54" s="263" t="s">
        <v>221</v>
      </c>
      <c r="L54" s="311" t="s">
        <v>2234</v>
      </c>
      <c r="M54" s="35" t="s">
        <v>878</v>
      </c>
      <c r="N54" s="35">
        <v>1</v>
      </c>
      <c r="O54" s="35">
        <v>1</v>
      </c>
      <c r="P54" s="35">
        <v>0</v>
      </c>
      <c r="Q54" s="263" t="s">
        <v>1371</v>
      </c>
      <c r="R54" s="308"/>
    </row>
    <row r="55" spans="1:18" s="283" customFormat="1" x14ac:dyDescent="0.25">
      <c r="A55" s="263">
        <v>51</v>
      </c>
      <c r="B55" s="264"/>
      <c r="C55" s="35" t="s">
        <v>1314</v>
      </c>
      <c r="D55" s="35">
        <v>1</v>
      </c>
      <c r="E55" s="263" t="s">
        <v>1315</v>
      </c>
      <c r="F55" s="265" t="s">
        <v>389</v>
      </c>
      <c r="G55" s="263" t="s">
        <v>389</v>
      </c>
      <c r="H55" s="266">
        <v>0</v>
      </c>
      <c r="I55" s="35">
        <v>1</v>
      </c>
      <c r="J55" s="35" t="s">
        <v>876</v>
      </c>
      <c r="K55" s="263" t="s">
        <v>221</v>
      </c>
      <c r="L55" s="311" t="s">
        <v>2235</v>
      </c>
      <c r="M55" s="35" t="s">
        <v>878</v>
      </c>
      <c r="N55" s="35">
        <v>1</v>
      </c>
      <c r="O55" s="35">
        <v>1</v>
      </c>
      <c r="P55" s="35">
        <v>0</v>
      </c>
      <c r="Q55" s="263" t="s">
        <v>1371</v>
      </c>
      <c r="R55" s="308"/>
    </row>
    <row r="56" spans="1:18" s="283" customFormat="1" x14ac:dyDescent="0.25">
      <c r="A56" s="263"/>
      <c r="B56" s="264"/>
      <c r="C56" s="35"/>
      <c r="D56" s="286">
        <f>SUM(D5:D55)</f>
        <v>281</v>
      </c>
      <c r="E56" s="263"/>
      <c r="F56" s="265"/>
      <c r="G56" s="263"/>
      <c r="H56" s="287">
        <f>SUM(H5:H55)</f>
        <v>1251594.49</v>
      </c>
      <c r="I56" s="286">
        <f>SUM(I5:I55)</f>
        <v>281</v>
      </c>
      <c r="J56" s="35"/>
      <c r="K56" s="263"/>
      <c r="L56" s="311"/>
      <c r="M56" s="35"/>
      <c r="N56" s="35"/>
      <c r="O56" s="35"/>
      <c r="P56" s="35"/>
      <c r="Q56" s="263"/>
      <c r="R56" s="321">
        <v>281</v>
      </c>
    </row>
    <row r="57" spans="1:18" s="283" customFormat="1" ht="21" x14ac:dyDescent="0.25">
      <c r="A57" s="585" t="s">
        <v>839</v>
      </c>
      <c r="B57" s="585"/>
      <c r="C57" s="585"/>
      <c r="D57" s="585"/>
      <c r="E57" s="585"/>
      <c r="F57" s="585"/>
      <c r="G57" s="585"/>
      <c r="H57" s="585"/>
      <c r="I57" s="585"/>
      <c r="J57" s="585"/>
      <c r="K57" s="585"/>
      <c r="L57" s="585"/>
      <c r="M57" s="585"/>
      <c r="N57" s="585"/>
      <c r="O57" s="585"/>
      <c r="P57" s="585"/>
      <c r="Q57" s="585"/>
      <c r="R57" s="308"/>
    </row>
    <row r="58" spans="1:18" s="283" customFormat="1" ht="56.25" x14ac:dyDescent="0.25">
      <c r="A58" s="262">
        <v>1</v>
      </c>
      <c r="B58" s="264"/>
      <c r="C58" s="262" t="s">
        <v>812</v>
      </c>
      <c r="D58" s="262">
        <v>96</v>
      </c>
      <c r="E58" s="570" t="s">
        <v>916</v>
      </c>
      <c r="F58" s="570" t="s">
        <v>278</v>
      </c>
      <c r="G58" s="570" t="s">
        <v>221</v>
      </c>
      <c r="H58" s="572">
        <v>1281177.3899999999</v>
      </c>
      <c r="I58" s="262">
        <v>96</v>
      </c>
      <c r="J58" s="262" t="s">
        <v>926</v>
      </c>
      <c r="K58" s="263" t="s">
        <v>221</v>
      </c>
      <c r="L58" s="311" t="s">
        <v>2243</v>
      </c>
      <c r="M58" s="262" t="s">
        <v>1013</v>
      </c>
      <c r="N58" s="262">
        <v>96</v>
      </c>
      <c r="O58" s="262">
        <v>96</v>
      </c>
      <c r="P58" s="262">
        <v>0</v>
      </c>
      <c r="Q58" s="263" t="s">
        <v>1371</v>
      </c>
      <c r="R58" s="308"/>
    </row>
    <row r="59" spans="1:18" s="283" customFormat="1" ht="56.25" x14ac:dyDescent="0.25">
      <c r="A59" s="262">
        <v>2</v>
      </c>
      <c r="B59" s="264"/>
      <c r="C59" s="262" t="s">
        <v>813</v>
      </c>
      <c r="D59" s="262">
        <v>6</v>
      </c>
      <c r="E59" s="570"/>
      <c r="F59" s="570"/>
      <c r="G59" s="570"/>
      <c r="H59" s="572"/>
      <c r="I59" s="262">
        <v>6</v>
      </c>
      <c r="J59" s="262" t="s">
        <v>926</v>
      </c>
      <c r="K59" s="263" t="s">
        <v>221</v>
      </c>
      <c r="L59" s="364" t="s">
        <v>2244</v>
      </c>
      <c r="M59" s="262" t="s">
        <v>1013</v>
      </c>
      <c r="N59" s="262">
        <v>6</v>
      </c>
      <c r="O59" s="262">
        <v>6</v>
      </c>
      <c r="P59" s="262">
        <v>0</v>
      </c>
      <c r="Q59" s="263" t="s">
        <v>1371</v>
      </c>
      <c r="R59" s="308"/>
    </row>
    <row r="60" spans="1:18" s="289" customFormat="1" x14ac:dyDescent="0.25">
      <c r="A60" s="262">
        <v>3</v>
      </c>
      <c r="B60" s="288"/>
      <c r="C60" s="268" t="s">
        <v>827</v>
      </c>
      <c r="D60" s="268">
        <v>240</v>
      </c>
      <c r="E60" s="570"/>
      <c r="F60" s="570"/>
      <c r="G60" s="570"/>
      <c r="H60" s="270">
        <v>1062679.2</v>
      </c>
      <c r="I60" s="268">
        <v>240</v>
      </c>
      <c r="J60" s="268" t="s">
        <v>876</v>
      </c>
      <c r="K60" s="271" t="s">
        <v>221</v>
      </c>
      <c r="L60" s="271" t="s">
        <v>2285</v>
      </c>
      <c r="M60" s="268" t="s">
        <v>1013</v>
      </c>
      <c r="N60" s="268">
        <v>240</v>
      </c>
      <c r="O60" s="268">
        <v>240</v>
      </c>
      <c r="P60" s="268">
        <v>0</v>
      </c>
      <c r="Q60" s="309" t="s">
        <v>1371</v>
      </c>
      <c r="R60" s="322"/>
    </row>
    <row r="61" spans="1:18" s="283" customFormat="1" ht="73.5" customHeight="1" x14ac:dyDescent="0.25">
      <c r="A61" s="262">
        <v>4</v>
      </c>
      <c r="B61" s="264"/>
      <c r="C61" s="262" t="s">
        <v>828</v>
      </c>
      <c r="D61" s="262">
        <v>102</v>
      </c>
      <c r="E61" s="570"/>
      <c r="F61" s="570"/>
      <c r="G61" s="570"/>
      <c r="H61" s="261">
        <v>85946.22</v>
      </c>
      <c r="I61" s="35">
        <v>102</v>
      </c>
      <c r="J61" s="35" t="s">
        <v>876</v>
      </c>
      <c r="K61" s="263" t="s">
        <v>221</v>
      </c>
      <c r="L61" s="311" t="s">
        <v>2256</v>
      </c>
      <c r="M61" s="262" t="s">
        <v>1013</v>
      </c>
      <c r="N61" s="262">
        <v>102</v>
      </c>
      <c r="O61" s="262">
        <v>102</v>
      </c>
      <c r="P61" s="262">
        <v>0</v>
      </c>
      <c r="Q61" s="263" t="s">
        <v>1382</v>
      </c>
      <c r="R61" s="308"/>
    </row>
    <row r="62" spans="1:18" s="283" customFormat="1" x14ac:dyDescent="0.25">
      <c r="A62" s="262">
        <v>5</v>
      </c>
      <c r="B62" s="264"/>
      <c r="C62" s="262" t="s">
        <v>800</v>
      </c>
      <c r="D62" s="262">
        <v>1</v>
      </c>
      <c r="E62" s="570"/>
      <c r="F62" s="570"/>
      <c r="G62" s="570"/>
      <c r="H62" s="266">
        <v>21491.3</v>
      </c>
      <c r="I62" s="35">
        <v>1</v>
      </c>
      <c r="J62" s="35" t="s">
        <v>926</v>
      </c>
      <c r="K62" s="263" t="s">
        <v>221</v>
      </c>
      <c r="L62" s="311" t="s">
        <v>2245</v>
      </c>
      <c r="M62" s="262" t="s">
        <v>1013</v>
      </c>
      <c r="N62" s="262">
        <v>1</v>
      </c>
      <c r="O62" s="262">
        <v>1</v>
      </c>
      <c r="P62" s="262">
        <v>0</v>
      </c>
      <c r="Q62" s="263" t="s">
        <v>1371</v>
      </c>
      <c r="R62" s="308"/>
    </row>
    <row r="63" spans="1:18" s="283" customFormat="1" ht="56.25" x14ac:dyDescent="0.25">
      <c r="A63" s="262">
        <v>6</v>
      </c>
      <c r="B63" s="264"/>
      <c r="C63" s="262" t="s">
        <v>801</v>
      </c>
      <c r="D63" s="262">
        <v>6</v>
      </c>
      <c r="E63" s="570"/>
      <c r="F63" s="570"/>
      <c r="G63" s="570"/>
      <c r="H63" s="587">
        <v>293384.34999999998</v>
      </c>
      <c r="I63" s="35">
        <v>6</v>
      </c>
      <c r="J63" s="35" t="s">
        <v>926</v>
      </c>
      <c r="K63" s="263" t="s">
        <v>221</v>
      </c>
      <c r="L63" s="311" t="s">
        <v>2249</v>
      </c>
      <c r="M63" s="262" t="s">
        <v>1013</v>
      </c>
      <c r="N63" s="262">
        <v>6</v>
      </c>
      <c r="O63" s="262">
        <v>6</v>
      </c>
      <c r="P63" s="262">
        <v>0</v>
      </c>
      <c r="Q63" s="263" t="s">
        <v>1371</v>
      </c>
      <c r="R63" s="308"/>
    </row>
    <row r="64" spans="1:18" s="283" customFormat="1" ht="56.25" x14ac:dyDescent="0.25">
      <c r="A64" s="262">
        <v>7</v>
      </c>
      <c r="B64" s="264"/>
      <c r="C64" s="262" t="s">
        <v>802</v>
      </c>
      <c r="D64" s="262">
        <v>19</v>
      </c>
      <c r="E64" s="570"/>
      <c r="F64" s="570"/>
      <c r="G64" s="570"/>
      <c r="H64" s="587"/>
      <c r="I64" s="35">
        <v>19</v>
      </c>
      <c r="J64" s="35" t="s">
        <v>926</v>
      </c>
      <c r="K64" s="263" t="s">
        <v>221</v>
      </c>
      <c r="L64" s="311" t="s">
        <v>2248</v>
      </c>
      <c r="M64" s="262" t="s">
        <v>1013</v>
      </c>
      <c r="N64" s="262">
        <v>19</v>
      </c>
      <c r="O64" s="262">
        <v>19</v>
      </c>
      <c r="P64" s="262">
        <v>0</v>
      </c>
      <c r="Q64" s="263" t="s">
        <v>1371</v>
      </c>
      <c r="R64" s="308"/>
    </row>
    <row r="65" spans="1:18" s="283" customFormat="1" ht="37.5" x14ac:dyDescent="0.25">
      <c r="A65" s="262">
        <v>8</v>
      </c>
      <c r="B65" s="264"/>
      <c r="C65" s="262" t="s">
        <v>802</v>
      </c>
      <c r="D65" s="262">
        <v>2</v>
      </c>
      <c r="E65" s="570"/>
      <c r="F65" s="570"/>
      <c r="G65" s="570"/>
      <c r="H65" s="587"/>
      <c r="I65" s="35">
        <v>2</v>
      </c>
      <c r="J65" s="35" t="s">
        <v>926</v>
      </c>
      <c r="K65" s="263" t="s">
        <v>221</v>
      </c>
      <c r="L65" s="311" t="s">
        <v>2251</v>
      </c>
      <c r="M65" s="262" t="s">
        <v>1013</v>
      </c>
      <c r="N65" s="262">
        <v>2</v>
      </c>
      <c r="O65" s="262">
        <v>2</v>
      </c>
      <c r="P65" s="262">
        <v>0</v>
      </c>
      <c r="Q65" s="263" t="s">
        <v>1371</v>
      </c>
      <c r="R65" s="308"/>
    </row>
    <row r="66" spans="1:18" s="283" customFormat="1" ht="37.5" x14ac:dyDescent="0.25">
      <c r="A66" s="262">
        <v>9</v>
      </c>
      <c r="B66" s="264"/>
      <c r="C66" s="262" t="s">
        <v>803</v>
      </c>
      <c r="D66" s="262">
        <v>1</v>
      </c>
      <c r="E66" s="570"/>
      <c r="F66" s="570"/>
      <c r="G66" s="570"/>
      <c r="H66" s="261">
        <v>32694.78</v>
      </c>
      <c r="I66" s="35">
        <v>1</v>
      </c>
      <c r="J66" s="35" t="s">
        <v>926</v>
      </c>
      <c r="K66" s="263" t="s">
        <v>221</v>
      </c>
      <c r="L66" s="311" t="s">
        <v>2246</v>
      </c>
      <c r="M66" s="262" t="s">
        <v>1013</v>
      </c>
      <c r="N66" s="262">
        <v>1</v>
      </c>
      <c r="O66" s="262">
        <v>1</v>
      </c>
      <c r="P66" s="262">
        <v>0</v>
      </c>
      <c r="Q66" s="263" t="s">
        <v>1371</v>
      </c>
      <c r="R66" s="308"/>
    </row>
    <row r="67" spans="1:18" s="283" customFormat="1" ht="56.25" x14ac:dyDescent="0.25">
      <c r="A67" s="262">
        <v>10</v>
      </c>
      <c r="B67" s="264"/>
      <c r="C67" s="262" t="s">
        <v>804</v>
      </c>
      <c r="D67" s="262">
        <v>3</v>
      </c>
      <c r="E67" s="570"/>
      <c r="F67" s="570"/>
      <c r="G67" s="570"/>
      <c r="H67" s="261">
        <v>21391.29</v>
      </c>
      <c r="I67" s="35">
        <v>3</v>
      </c>
      <c r="J67" s="35" t="s">
        <v>926</v>
      </c>
      <c r="K67" s="263" t="s">
        <v>221</v>
      </c>
      <c r="L67" s="311" t="s">
        <v>2250</v>
      </c>
      <c r="M67" s="262" t="s">
        <v>1013</v>
      </c>
      <c r="N67" s="262">
        <v>3</v>
      </c>
      <c r="O67" s="262">
        <v>3</v>
      </c>
      <c r="P67" s="262">
        <v>0</v>
      </c>
      <c r="Q67" s="263" t="s">
        <v>1371</v>
      </c>
      <c r="R67" s="308"/>
    </row>
    <row r="68" spans="1:18" s="283" customFormat="1" ht="56.25" x14ac:dyDescent="0.25">
      <c r="A68" s="262">
        <v>11</v>
      </c>
      <c r="B68" s="264"/>
      <c r="C68" s="310" t="s">
        <v>830</v>
      </c>
      <c r="D68" s="262">
        <v>3</v>
      </c>
      <c r="E68" s="570"/>
      <c r="F68" s="570"/>
      <c r="G68" s="570"/>
      <c r="H68" s="261">
        <v>22468.71</v>
      </c>
      <c r="I68" s="35">
        <v>3</v>
      </c>
      <c r="J68" s="35" t="s">
        <v>926</v>
      </c>
      <c r="K68" s="309" t="s">
        <v>221</v>
      </c>
      <c r="L68" s="311" t="s">
        <v>2279</v>
      </c>
      <c r="M68" s="262" t="s">
        <v>1013</v>
      </c>
      <c r="N68" s="262">
        <v>3</v>
      </c>
      <c r="O68" s="262">
        <v>3</v>
      </c>
      <c r="P68" s="262">
        <v>0</v>
      </c>
      <c r="Q68" s="263" t="s">
        <v>1371</v>
      </c>
      <c r="R68" s="308"/>
    </row>
    <row r="69" spans="1:18" s="283" customFormat="1" ht="56.25" x14ac:dyDescent="0.25">
      <c r="A69" s="262">
        <v>12</v>
      </c>
      <c r="B69" s="264"/>
      <c r="C69" s="310" t="s">
        <v>831</v>
      </c>
      <c r="D69" s="262">
        <v>5</v>
      </c>
      <c r="E69" s="570"/>
      <c r="F69" s="570"/>
      <c r="G69" s="570"/>
      <c r="H69" s="266">
        <v>33608.65</v>
      </c>
      <c r="I69" s="35">
        <v>5</v>
      </c>
      <c r="J69" s="35" t="s">
        <v>926</v>
      </c>
      <c r="K69" s="309" t="s">
        <v>221</v>
      </c>
      <c r="L69" s="311" t="s">
        <v>2280</v>
      </c>
      <c r="M69" s="262" t="s">
        <v>1013</v>
      </c>
      <c r="N69" s="262">
        <v>5</v>
      </c>
      <c r="O69" s="262">
        <v>5</v>
      </c>
      <c r="P69" s="262">
        <v>0</v>
      </c>
      <c r="Q69" s="263" t="s">
        <v>1371</v>
      </c>
      <c r="R69" s="308"/>
    </row>
    <row r="70" spans="1:18" s="283" customFormat="1" ht="56.25" x14ac:dyDescent="0.25">
      <c r="A70" s="262">
        <v>13</v>
      </c>
      <c r="B70" s="264"/>
      <c r="C70" s="310" t="s">
        <v>832</v>
      </c>
      <c r="D70" s="262">
        <v>3</v>
      </c>
      <c r="E70" s="570"/>
      <c r="F70" s="570"/>
      <c r="G70" s="570"/>
      <c r="H70" s="261">
        <v>39323.49</v>
      </c>
      <c r="I70" s="35">
        <v>3</v>
      </c>
      <c r="J70" s="35" t="s">
        <v>926</v>
      </c>
      <c r="K70" s="309" t="s">
        <v>221</v>
      </c>
      <c r="L70" s="311" t="s">
        <v>2281</v>
      </c>
      <c r="M70" s="262" t="s">
        <v>1013</v>
      </c>
      <c r="N70" s="262">
        <v>3</v>
      </c>
      <c r="O70" s="262">
        <v>3</v>
      </c>
      <c r="P70" s="262">
        <v>0</v>
      </c>
      <c r="Q70" s="263" t="s">
        <v>1371</v>
      </c>
      <c r="R70" s="308"/>
    </row>
    <row r="71" spans="1:18" s="283" customFormat="1" x14ac:dyDescent="0.25">
      <c r="A71" s="262">
        <v>14</v>
      </c>
      <c r="B71" s="264"/>
      <c r="C71" s="262" t="s">
        <v>811</v>
      </c>
      <c r="D71" s="262">
        <v>102</v>
      </c>
      <c r="E71" s="570"/>
      <c r="F71" s="570"/>
      <c r="G71" s="570"/>
      <c r="H71" s="261">
        <v>756823.92</v>
      </c>
      <c r="I71" s="35">
        <v>102</v>
      </c>
      <c r="J71" s="35" t="s">
        <v>926</v>
      </c>
      <c r="K71" s="309" t="s">
        <v>221</v>
      </c>
      <c r="L71" s="311" t="s">
        <v>2282</v>
      </c>
      <c r="M71" s="262" t="s">
        <v>1013</v>
      </c>
      <c r="N71" s="262">
        <v>102</v>
      </c>
      <c r="O71" s="262">
        <v>102</v>
      </c>
      <c r="P71" s="262">
        <v>0</v>
      </c>
      <c r="Q71" s="263" t="s">
        <v>1371</v>
      </c>
      <c r="R71" s="308"/>
    </row>
    <row r="72" spans="1:18" s="283" customFormat="1" ht="56.25" x14ac:dyDescent="0.25">
      <c r="A72" s="262">
        <v>15</v>
      </c>
      <c r="B72" s="264"/>
      <c r="C72" s="262" t="s">
        <v>806</v>
      </c>
      <c r="D72" s="262">
        <v>6</v>
      </c>
      <c r="E72" s="570"/>
      <c r="F72" s="570"/>
      <c r="G72" s="570"/>
      <c r="H72" s="261">
        <v>52403.46</v>
      </c>
      <c r="I72" s="35">
        <v>6</v>
      </c>
      <c r="J72" s="35" t="s">
        <v>926</v>
      </c>
      <c r="K72" s="263" t="s">
        <v>221</v>
      </c>
      <c r="L72" s="311" t="s">
        <v>2257</v>
      </c>
      <c r="M72" s="262" t="s">
        <v>1013</v>
      </c>
      <c r="N72" s="262">
        <v>6</v>
      </c>
      <c r="O72" s="262">
        <v>6</v>
      </c>
      <c r="P72" s="262">
        <v>0</v>
      </c>
      <c r="Q72" s="263" t="s">
        <v>1371</v>
      </c>
      <c r="R72" s="308"/>
    </row>
    <row r="73" spans="1:18" s="283" customFormat="1" x14ac:dyDescent="0.25">
      <c r="A73" s="262">
        <v>16</v>
      </c>
      <c r="B73" s="264"/>
      <c r="C73" s="262" t="s">
        <v>807</v>
      </c>
      <c r="D73" s="262">
        <v>1</v>
      </c>
      <c r="E73" s="570"/>
      <c r="F73" s="570"/>
      <c r="G73" s="570"/>
      <c r="H73" s="261">
        <v>4760</v>
      </c>
      <c r="I73" s="35">
        <v>1</v>
      </c>
      <c r="J73" s="35" t="s">
        <v>926</v>
      </c>
      <c r="K73" s="263" t="s">
        <v>221</v>
      </c>
      <c r="L73" s="311" t="s">
        <v>2247</v>
      </c>
      <c r="M73" s="262" t="s">
        <v>1013</v>
      </c>
      <c r="N73" s="262">
        <v>1</v>
      </c>
      <c r="O73" s="262">
        <v>1</v>
      </c>
      <c r="P73" s="262">
        <v>0</v>
      </c>
      <c r="Q73" s="263" t="s">
        <v>1371</v>
      </c>
      <c r="R73" s="308"/>
    </row>
    <row r="74" spans="1:18" s="283" customFormat="1" ht="56.25" x14ac:dyDescent="0.25">
      <c r="A74" s="262">
        <v>17</v>
      </c>
      <c r="B74" s="264"/>
      <c r="C74" s="262" t="s">
        <v>808</v>
      </c>
      <c r="D74" s="262">
        <v>3</v>
      </c>
      <c r="E74" s="570"/>
      <c r="F74" s="570"/>
      <c r="G74" s="570"/>
      <c r="H74" s="261">
        <v>14280</v>
      </c>
      <c r="I74" s="35">
        <v>3</v>
      </c>
      <c r="J74" s="35" t="s">
        <v>926</v>
      </c>
      <c r="K74" s="263" t="s">
        <v>221</v>
      </c>
      <c r="L74" s="311" t="s">
        <v>2252</v>
      </c>
      <c r="M74" s="262" t="s">
        <v>1013</v>
      </c>
      <c r="N74" s="262">
        <v>3</v>
      </c>
      <c r="O74" s="262">
        <v>3</v>
      </c>
      <c r="P74" s="262">
        <v>0</v>
      </c>
      <c r="Q74" s="263" t="s">
        <v>1371</v>
      </c>
      <c r="R74" s="308"/>
    </row>
    <row r="75" spans="1:18" s="283" customFormat="1" ht="56.25" x14ac:dyDescent="0.25">
      <c r="A75" s="262">
        <v>18</v>
      </c>
      <c r="B75" s="264"/>
      <c r="C75" s="262" t="s">
        <v>809</v>
      </c>
      <c r="D75" s="262">
        <v>12</v>
      </c>
      <c r="E75" s="570"/>
      <c r="F75" s="570"/>
      <c r="G75" s="570"/>
      <c r="H75" s="261">
        <v>104806.92</v>
      </c>
      <c r="I75" s="35">
        <v>12</v>
      </c>
      <c r="J75" s="35" t="s">
        <v>926</v>
      </c>
      <c r="K75" s="263" t="s">
        <v>221</v>
      </c>
      <c r="L75" s="311" t="s">
        <v>2258</v>
      </c>
      <c r="M75" s="262" t="s">
        <v>1013</v>
      </c>
      <c r="N75" s="262">
        <v>12</v>
      </c>
      <c r="O75" s="262">
        <v>12</v>
      </c>
      <c r="P75" s="262">
        <v>0</v>
      </c>
      <c r="Q75" s="263" t="s">
        <v>1371</v>
      </c>
      <c r="R75" s="308"/>
    </row>
    <row r="76" spans="1:18" s="283" customFormat="1" ht="56.25" x14ac:dyDescent="0.25">
      <c r="A76" s="262">
        <v>19</v>
      </c>
      <c r="B76" s="264"/>
      <c r="C76" s="268" t="s">
        <v>810</v>
      </c>
      <c r="D76" s="262">
        <v>24</v>
      </c>
      <c r="E76" s="570"/>
      <c r="F76" s="570"/>
      <c r="G76" s="570"/>
      <c r="H76" s="261">
        <v>45850.32</v>
      </c>
      <c r="I76" s="35">
        <v>24</v>
      </c>
      <c r="J76" s="35" t="s">
        <v>926</v>
      </c>
      <c r="K76" s="263" t="s">
        <v>221</v>
      </c>
      <c r="L76" s="271" t="s">
        <v>2293</v>
      </c>
      <c r="M76" s="262" t="s">
        <v>1013</v>
      </c>
      <c r="N76" s="262">
        <v>24</v>
      </c>
      <c r="O76" s="262">
        <v>24</v>
      </c>
      <c r="P76" s="262">
        <v>0</v>
      </c>
      <c r="Q76" s="263" t="s">
        <v>1371</v>
      </c>
      <c r="R76" s="308"/>
    </row>
    <row r="77" spans="1:18" s="283" customFormat="1" ht="37.5" x14ac:dyDescent="0.25">
      <c r="A77" s="262">
        <v>20</v>
      </c>
      <c r="B77" s="264"/>
      <c r="C77" s="262" t="s">
        <v>805</v>
      </c>
      <c r="D77" s="262">
        <v>2</v>
      </c>
      <c r="E77" s="570"/>
      <c r="F77" s="570"/>
      <c r="G77" s="570"/>
      <c r="H77" s="261">
        <v>100000</v>
      </c>
      <c r="I77" s="35">
        <v>2</v>
      </c>
      <c r="J77" s="35" t="s">
        <v>926</v>
      </c>
      <c r="K77" s="263" t="s">
        <v>221</v>
      </c>
      <c r="L77" s="311" t="s">
        <v>2254</v>
      </c>
      <c r="M77" s="262" t="s">
        <v>1013</v>
      </c>
      <c r="N77" s="262">
        <v>2</v>
      </c>
      <c r="O77" s="262">
        <v>2</v>
      </c>
      <c r="P77" s="262">
        <v>0</v>
      </c>
      <c r="Q77" s="263" t="s">
        <v>1371</v>
      </c>
      <c r="R77" s="308"/>
    </row>
    <row r="78" spans="1:18" s="283" customFormat="1" x14ac:dyDescent="0.25">
      <c r="A78" s="262">
        <v>21</v>
      </c>
      <c r="B78" s="264"/>
      <c r="C78" s="262" t="s">
        <v>834</v>
      </c>
      <c r="D78" s="262">
        <v>230</v>
      </c>
      <c r="E78" s="570"/>
      <c r="F78" s="570"/>
      <c r="G78" s="570"/>
      <c r="H78" s="261">
        <v>34500</v>
      </c>
      <c r="I78" s="35">
        <v>230</v>
      </c>
      <c r="J78" s="35" t="s">
        <v>926</v>
      </c>
      <c r="K78" s="263" t="s">
        <v>221</v>
      </c>
      <c r="L78" s="311" t="s">
        <v>2283</v>
      </c>
      <c r="M78" s="262" t="s">
        <v>1013</v>
      </c>
      <c r="N78" s="262">
        <v>230</v>
      </c>
      <c r="O78" s="262">
        <v>230</v>
      </c>
      <c r="P78" s="262">
        <v>0</v>
      </c>
      <c r="Q78" s="263" t="s">
        <v>1371</v>
      </c>
      <c r="R78" s="308"/>
    </row>
    <row r="79" spans="1:18" s="283" customFormat="1" ht="37.5" x14ac:dyDescent="0.25">
      <c r="A79" s="262">
        <v>22</v>
      </c>
      <c r="B79" s="264"/>
      <c r="C79" s="262" t="s">
        <v>814</v>
      </c>
      <c r="D79" s="262">
        <v>13</v>
      </c>
      <c r="E79" s="570"/>
      <c r="F79" s="570"/>
      <c r="G79" s="570"/>
      <c r="H79" s="266" t="s">
        <v>221</v>
      </c>
      <c r="I79" s="35">
        <v>13</v>
      </c>
      <c r="J79" s="35" t="s">
        <v>926</v>
      </c>
      <c r="K79" s="263" t="s">
        <v>221</v>
      </c>
      <c r="L79" s="311" t="s">
        <v>2294</v>
      </c>
      <c r="M79" s="262" t="s">
        <v>1013</v>
      </c>
      <c r="N79" s="262">
        <v>13</v>
      </c>
      <c r="O79" s="262">
        <v>13</v>
      </c>
      <c r="P79" s="262">
        <v>0</v>
      </c>
      <c r="Q79" s="263" t="s">
        <v>1371</v>
      </c>
      <c r="R79" s="308"/>
    </row>
    <row r="80" spans="1:18" s="283" customFormat="1" ht="56.25" x14ac:dyDescent="0.25">
      <c r="A80" s="262">
        <v>23</v>
      </c>
      <c r="B80" s="264"/>
      <c r="C80" s="262" t="s">
        <v>815</v>
      </c>
      <c r="D80" s="262">
        <v>3</v>
      </c>
      <c r="E80" s="570"/>
      <c r="F80" s="570"/>
      <c r="G80" s="570"/>
      <c r="H80" s="266" t="s">
        <v>221</v>
      </c>
      <c r="I80" s="35">
        <v>3</v>
      </c>
      <c r="J80" s="35" t="s">
        <v>926</v>
      </c>
      <c r="K80" s="263" t="s">
        <v>221</v>
      </c>
      <c r="L80" s="311" t="s">
        <v>2255</v>
      </c>
      <c r="M80" s="262" t="s">
        <v>1013</v>
      </c>
      <c r="N80" s="262">
        <v>3</v>
      </c>
      <c r="O80" s="262">
        <v>3</v>
      </c>
      <c r="P80" s="262">
        <v>0</v>
      </c>
      <c r="Q80" s="263" t="s">
        <v>1371</v>
      </c>
      <c r="R80" s="308"/>
    </row>
    <row r="81" spans="1:18" s="283" customFormat="1" x14ac:dyDescent="0.25">
      <c r="A81" s="262">
        <v>24</v>
      </c>
      <c r="B81" s="264"/>
      <c r="C81" s="262" t="s">
        <v>835</v>
      </c>
      <c r="D81" s="262">
        <v>21</v>
      </c>
      <c r="E81" s="570"/>
      <c r="F81" s="570"/>
      <c r="G81" s="570"/>
      <c r="H81" s="261">
        <v>591521.74</v>
      </c>
      <c r="I81" s="35">
        <v>21</v>
      </c>
      <c r="J81" s="35" t="s">
        <v>926</v>
      </c>
      <c r="K81" s="309" t="s">
        <v>221</v>
      </c>
      <c r="L81" s="311" t="s">
        <v>2284</v>
      </c>
      <c r="M81" s="262" t="s">
        <v>1013</v>
      </c>
      <c r="N81" s="262">
        <v>21</v>
      </c>
      <c r="O81" s="262">
        <v>21</v>
      </c>
      <c r="P81" s="262">
        <v>0</v>
      </c>
      <c r="Q81" s="263" t="s">
        <v>1371</v>
      </c>
      <c r="R81" s="308"/>
    </row>
    <row r="82" spans="1:18" s="283" customFormat="1" ht="37.5" customHeight="1" x14ac:dyDescent="0.25">
      <c r="A82" s="262">
        <v>25</v>
      </c>
      <c r="B82" s="264"/>
      <c r="C82" s="262" t="s">
        <v>796</v>
      </c>
      <c r="D82" s="262">
        <v>208</v>
      </c>
      <c r="E82" s="570"/>
      <c r="F82" s="570"/>
      <c r="G82" s="570"/>
      <c r="H82" s="261">
        <v>1849390.4</v>
      </c>
      <c r="I82" s="35">
        <v>208</v>
      </c>
      <c r="J82" s="35" t="s">
        <v>926</v>
      </c>
      <c r="K82" s="309" t="s">
        <v>221</v>
      </c>
      <c r="L82" s="311" t="s">
        <v>2288</v>
      </c>
      <c r="M82" s="262" t="s">
        <v>1013</v>
      </c>
      <c r="N82" s="262">
        <v>208</v>
      </c>
      <c r="O82" s="262">
        <v>208</v>
      </c>
      <c r="P82" s="262">
        <v>0</v>
      </c>
      <c r="Q82" s="263" t="s">
        <v>1371</v>
      </c>
      <c r="R82" s="308"/>
    </row>
    <row r="83" spans="1:18" s="283" customFormat="1" x14ac:dyDescent="0.25">
      <c r="A83" s="262">
        <v>26</v>
      </c>
      <c r="B83" s="264"/>
      <c r="C83" s="262" t="s">
        <v>910</v>
      </c>
      <c r="D83" s="262">
        <v>320</v>
      </c>
      <c r="E83" s="570"/>
      <c r="F83" s="570"/>
      <c r="G83" s="570"/>
      <c r="H83" s="261">
        <v>1968972.8</v>
      </c>
      <c r="I83" s="35">
        <v>320</v>
      </c>
      <c r="J83" s="35" t="s">
        <v>926</v>
      </c>
      <c r="K83" s="309" t="s">
        <v>221</v>
      </c>
      <c r="L83" s="311" t="s">
        <v>2291</v>
      </c>
      <c r="M83" s="262" t="s">
        <v>1013</v>
      </c>
      <c r="N83" s="262">
        <v>320</v>
      </c>
      <c r="O83" s="262">
        <v>320</v>
      </c>
      <c r="P83" s="262">
        <v>0</v>
      </c>
      <c r="Q83" s="263" t="s">
        <v>1371</v>
      </c>
      <c r="R83" s="308"/>
    </row>
    <row r="84" spans="1:18" s="283" customFormat="1" ht="37.5" x14ac:dyDescent="0.25">
      <c r="A84" s="262">
        <v>27</v>
      </c>
      <c r="B84" s="264"/>
      <c r="C84" s="262" t="s">
        <v>1145</v>
      </c>
      <c r="D84" s="262">
        <v>232</v>
      </c>
      <c r="E84" s="570"/>
      <c r="F84" s="570"/>
      <c r="G84" s="570"/>
      <c r="H84" s="290">
        <v>1027256.56</v>
      </c>
      <c r="I84" s="262">
        <v>232</v>
      </c>
      <c r="J84" s="262" t="s">
        <v>1245</v>
      </c>
      <c r="K84" s="309" t="s">
        <v>221</v>
      </c>
      <c r="L84" s="311" t="s">
        <v>2290</v>
      </c>
      <c r="M84" s="262" t="s">
        <v>1013</v>
      </c>
      <c r="N84" s="262">
        <v>232</v>
      </c>
      <c r="O84" s="262">
        <v>232</v>
      </c>
      <c r="P84" s="262">
        <v>0</v>
      </c>
      <c r="Q84" s="263" t="s">
        <v>1371</v>
      </c>
      <c r="R84" s="308"/>
    </row>
    <row r="85" spans="1:18" s="283" customFormat="1" ht="56.25" x14ac:dyDescent="0.25">
      <c r="A85" s="262">
        <v>28</v>
      </c>
      <c r="B85" s="264"/>
      <c r="C85" s="262" t="s">
        <v>1146</v>
      </c>
      <c r="D85" s="262">
        <v>37</v>
      </c>
      <c r="E85" s="570"/>
      <c r="F85" s="570"/>
      <c r="G85" s="570"/>
      <c r="H85" s="290">
        <v>27789.57</v>
      </c>
      <c r="I85" s="262">
        <v>37</v>
      </c>
      <c r="J85" s="262" t="s">
        <v>926</v>
      </c>
      <c r="K85" s="309" t="s">
        <v>221</v>
      </c>
      <c r="L85" s="271" t="s">
        <v>2292</v>
      </c>
      <c r="M85" s="262" t="s">
        <v>1013</v>
      </c>
      <c r="N85" s="262">
        <v>37</v>
      </c>
      <c r="O85" s="262">
        <v>37</v>
      </c>
      <c r="P85" s="262">
        <v>0</v>
      </c>
      <c r="Q85" s="263" t="s">
        <v>1371</v>
      </c>
      <c r="R85" s="308"/>
    </row>
    <row r="86" spans="1:18" s="283" customFormat="1" ht="56.25" x14ac:dyDescent="0.3">
      <c r="A86" s="262">
        <v>29</v>
      </c>
      <c r="B86" s="264"/>
      <c r="C86" s="262" t="s">
        <v>951</v>
      </c>
      <c r="D86" s="262">
        <v>35</v>
      </c>
      <c r="E86" s="570"/>
      <c r="F86" s="570"/>
      <c r="G86" s="570"/>
      <c r="H86" s="290">
        <v>66865.05</v>
      </c>
      <c r="I86" s="262">
        <v>35</v>
      </c>
      <c r="J86" s="262" t="s">
        <v>926</v>
      </c>
      <c r="K86" s="309" t="s">
        <v>221</v>
      </c>
      <c r="L86" s="365" t="s">
        <v>2276</v>
      </c>
      <c r="M86" s="262" t="s">
        <v>1013</v>
      </c>
      <c r="N86" s="262">
        <v>35</v>
      </c>
      <c r="O86" s="262">
        <v>35</v>
      </c>
      <c r="P86" s="262">
        <v>0</v>
      </c>
      <c r="Q86" s="263" t="s">
        <v>1371</v>
      </c>
      <c r="R86" s="323"/>
    </row>
    <row r="87" spans="1:18" s="283" customFormat="1" ht="56.25" x14ac:dyDescent="0.25">
      <c r="A87" s="262">
        <v>30</v>
      </c>
      <c r="B87" s="264"/>
      <c r="C87" s="262" t="s">
        <v>952</v>
      </c>
      <c r="D87" s="262">
        <v>8</v>
      </c>
      <c r="E87" s="570"/>
      <c r="F87" s="570"/>
      <c r="G87" s="570"/>
      <c r="H87" s="290">
        <v>78434.73</v>
      </c>
      <c r="I87" s="262">
        <v>8</v>
      </c>
      <c r="J87" s="262" t="s">
        <v>926</v>
      </c>
      <c r="K87" s="263" t="s">
        <v>221</v>
      </c>
      <c r="L87" s="311" t="s">
        <v>2253</v>
      </c>
      <c r="M87" s="262" t="s">
        <v>1013</v>
      </c>
      <c r="N87" s="262">
        <v>8</v>
      </c>
      <c r="O87" s="262">
        <v>8</v>
      </c>
      <c r="P87" s="262">
        <v>0</v>
      </c>
      <c r="Q87" s="263" t="s">
        <v>1371</v>
      </c>
      <c r="R87" s="308"/>
    </row>
    <row r="88" spans="1:18" s="283" customFormat="1" ht="37.5" x14ac:dyDescent="0.25">
      <c r="A88" s="262">
        <v>31</v>
      </c>
      <c r="B88" s="264" t="s">
        <v>954</v>
      </c>
      <c r="C88" s="262" t="s">
        <v>955</v>
      </c>
      <c r="D88" s="262">
        <v>2</v>
      </c>
      <c r="E88" s="570"/>
      <c r="F88" s="570"/>
      <c r="G88" s="570"/>
      <c r="H88" s="290">
        <v>108138</v>
      </c>
      <c r="I88" s="262">
        <v>2</v>
      </c>
      <c r="J88" s="262" t="s">
        <v>926</v>
      </c>
      <c r="K88" s="263" t="s">
        <v>221</v>
      </c>
      <c r="L88" s="311" t="s">
        <v>2211</v>
      </c>
      <c r="M88" s="262" t="s">
        <v>1013</v>
      </c>
      <c r="N88" s="262">
        <v>2</v>
      </c>
      <c r="O88" s="262">
        <v>2</v>
      </c>
      <c r="P88" s="262">
        <v>0</v>
      </c>
      <c r="Q88" s="263" t="s">
        <v>1371</v>
      </c>
      <c r="R88" s="308"/>
    </row>
    <row r="89" spans="1:18" s="283" customFormat="1" ht="37.5" x14ac:dyDescent="0.25">
      <c r="A89" s="262">
        <v>32</v>
      </c>
      <c r="B89" s="264"/>
      <c r="C89" s="262" t="s">
        <v>956</v>
      </c>
      <c r="D89" s="262">
        <v>2</v>
      </c>
      <c r="E89" s="570"/>
      <c r="F89" s="570"/>
      <c r="G89" s="570"/>
      <c r="H89" s="290">
        <v>108138</v>
      </c>
      <c r="I89" s="262">
        <v>2</v>
      </c>
      <c r="J89" s="262" t="s">
        <v>926</v>
      </c>
      <c r="K89" s="263" t="s">
        <v>221</v>
      </c>
      <c r="L89" s="366" t="s">
        <v>2212</v>
      </c>
      <c r="M89" s="262" t="s">
        <v>1013</v>
      </c>
      <c r="N89" s="262">
        <v>2</v>
      </c>
      <c r="O89" s="262">
        <v>2</v>
      </c>
      <c r="P89" s="262">
        <v>0</v>
      </c>
      <c r="Q89" s="263" t="s">
        <v>1371</v>
      </c>
      <c r="R89" s="308"/>
    </row>
    <row r="90" spans="1:18" s="283" customFormat="1" ht="54" customHeight="1" x14ac:dyDescent="0.25">
      <c r="A90" s="262">
        <v>33</v>
      </c>
      <c r="B90" s="586" t="s">
        <v>919</v>
      </c>
      <c r="C90" s="262" t="s">
        <v>796</v>
      </c>
      <c r="D90" s="262">
        <v>72</v>
      </c>
      <c r="E90" s="570" t="s">
        <v>1228</v>
      </c>
      <c r="F90" s="568" t="s">
        <v>1227</v>
      </c>
      <c r="G90" s="570" t="s">
        <v>221</v>
      </c>
      <c r="H90" s="572">
        <v>9841963.1799999997</v>
      </c>
      <c r="I90" s="262">
        <v>72</v>
      </c>
      <c r="J90" s="262" t="s">
        <v>927</v>
      </c>
      <c r="K90" s="263" t="s">
        <v>221</v>
      </c>
      <c r="L90" s="311" t="s">
        <v>2173</v>
      </c>
      <c r="M90" s="262" t="s">
        <v>1013</v>
      </c>
      <c r="N90" s="262">
        <v>72</v>
      </c>
      <c r="O90" s="262">
        <v>72</v>
      </c>
      <c r="P90" s="262">
        <v>0</v>
      </c>
      <c r="Q90" s="263" t="s">
        <v>1371</v>
      </c>
      <c r="R90" s="308"/>
    </row>
    <row r="91" spans="1:18" s="283" customFormat="1" ht="75" x14ac:dyDescent="0.25">
      <c r="A91" s="262">
        <v>34</v>
      </c>
      <c r="B91" s="586"/>
      <c r="C91" s="262" t="s">
        <v>917</v>
      </c>
      <c r="D91" s="262">
        <v>9</v>
      </c>
      <c r="E91" s="570"/>
      <c r="F91" s="568"/>
      <c r="G91" s="570"/>
      <c r="H91" s="572"/>
      <c r="I91" s="262">
        <v>9</v>
      </c>
      <c r="J91" s="262" t="s">
        <v>927</v>
      </c>
      <c r="K91" s="263" t="s">
        <v>221</v>
      </c>
      <c r="L91" s="311" t="s">
        <v>2191</v>
      </c>
      <c r="M91" s="262" t="s">
        <v>1013</v>
      </c>
      <c r="N91" s="262">
        <v>9</v>
      </c>
      <c r="O91" s="262">
        <v>9</v>
      </c>
      <c r="P91" s="262">
        <v>0</v>
      </c>
      <c r="Q91" s="263" t="s">
        <v>1371</v>
      </c>
      <c r="R91" s="308"/>
    </row>
    <row r="92" spans="1:18" s="283" customFormat="1" ht="37.5" x14ac:dyDescent="0.25">
      <c r="A92" s="262">
        <v>35</v>
      </c>
      <c r="B92" s="586"/>
      <c r="C92" s="262" t="s">
        <v>918</v>
      </c>
      <c r="D92" s="262">
        <v>2</v>
      </c>
      <c r="E92" s="570"/>
      <c r="F92" s="568"/>
      <c r="G92" s="570"/>
      <c r="H92" s="572"/>
      <c r="I92" s="262">
        <v>2</v>
      </c>
      <c r="J92" s="262" t="s">
        <v>927</v>
      </c>
      <c r="K92" s="263" t="s">
        <v>221</v>
      </c>
      <c r="L92" s="311" t="s">
        <v>2192</v>
      </c>
      <c r="M92" s="262" t="s">
        <v>1013</v>
      </c>
      <c r="N92" s="262">
        <v>2</v>
      </c>
      <c r="O92" s="262">
        <v>2</v>
      </c>
      <c r="P92" s="262">
        <v>0</v>
      </c>
      <c r="Q92" s="263" t="s">
        <v>1371</v>
      </c>
      <c r="R92" s="308"/>
    </row>
    <row r="93" spans="1:18" s="283" customFormat="1" ht="75" x14ac:dyDescent="0.25">
      <c r="A93" s="262">
        <v>36</v>
      </c>
      <c r="B93" s="586"/>
      <c r="C93" s="262" t="s">
        <v>910</v>
      </c>
      <c r="D93" s="262">
        <v>88</v>
      </c>
      <c r="E93" s="570"/>
      <c r="F93" s="568"/>
      <c r="G93" s="570"/>
      <c r="H93" s="572"/>
      <c r="I93" s="262">
        <v>88</v>
      </c>
      <c r="J93" s="262" t="s">
        <v>927</v>
      </c>
      <c r="K93" s="263" t="s">
        <v>221</v>
      </c>
      <c r="L93" s="311" t="s">
        <v>2180</v>
      </c>
      <c r="M93" s="262" t="s">
        <v>1013</v>
      </c>
      <c r="N93" s="262">
        <v>88</v>
      </c>
      <c r="O93" s="262">
        <v>88</v>
      </c>
      <c r="P93" s="262">
        <v>0</v>
      </c>
      <c r="Q93" s="263" t="s">
        <v>1371</v>
      </c>
      <c r="R93" s="308"/>
    </row>
    <row r="94" spans="1:18" s="283" customFormat="1" ht="56.25" x14ac:dyDescent="0.25">
      <c r="A94" s="262">
        <v>37</v>
      </c>
      <c r="B94" s="586" t="s">
        <v>920</v>
      </c>
      <c r="C94" s="262" t="s">
        <v>796</v>
      </c>
      <c r="D94" s="262">
        <v>23</v>
      </c>
      <c r="E94" s="570"/>
      <c r="F94" s="568"/>
      <c r="G94" s="570"/>
      <c r="H94" s="572"/>
      <c r="I94" s="262">
        <v>23</v>
      </c>
      <c r="J94" s="262" t="s">
        <v>927</v>
      </c>
      <c r="K94" s="263" t="s">
        <v>221</v>
      </c>
      <c r="L94" s="311" t="s">
        <v>2174</v>
      </c>
      <c r="M94" s="262" t="s">
        <v>1013</v>
      </c>
      <c r="N94" s="262">
        <v>23</v>
      </c>
      <c r="O94" s="262">
        <v>23</v>
      </c>
      <c r="P94" s="262">
        <v>0</v>
      </c>
      <c r="Q94" s="263" t="s">
        <v>1371</v>
      </c>
      <c r="R94" s="308"/>
    </row>
    <row r="95" spans="1:18" s="283" customFormat="1" ht="56.25" x14ac:dyDescent="0.25">
      <c r="A95" s="262">
        <v>38</v>
      </c>
      <c r="B95" s="586"/>
      <c r="C95" s="262" t="s">
        <v>917</v>
      </c>
      <c r="D95" s="262">
        <v>2</v>
      </c>
      <c r="E95" s="570"/>
      <c r="F95" s="568"/>
      <c r="G95" s="570"/>
      <c r="H95" s="572"/>
      <c r="I95" s="262">
        <v>2</v>
      </c>
      <c r="J95" s="262" t="s">
        <v>927</v>
      </c>
      <c r="K95" s="263" t="s">
        <v>221</v>
      </c>
      <c r="L95" s="311" t="s">
        <v>2202</v>
      </c>
      <c r="M95" s="262" t="s">
        <v>1013</v>
      </c>
      <c r="N95" s="262">
        <v>2</v>
      </c>
      <c r="O95" s="262">
        <v>2</v>
      </c>
      <c r="P95" s="262">
        <v>0</v>
      </c>
      <c r="Q95" s="263" t="s">
        <v>1371</v>
      </c>
      <c r="R95" s="308"/>
    </row>
    <row r="96" spans="1:18" s="283" customFormat="1" x14ac:dyDescent="0.25">
      <c r="A96" s="262">
        <v>39</v>
      </c>
      <c r="B96" s="586"/>
      <c r="C96" s="262" t="s">
        <v>918</v>
      </c>
      <c r="D96" s="262">
        <v>1</v>
      </c>
      <c r="E96" s="570"/>
      <c r="F96" s="568"/>
      <c r="G96" s="570"/>
      <c r="H96" s="572"/>
      <c r="I96" s="262">
        <v>1</v>
      </c>
      <c r="J96" s="262" t="s">
        <v>927</v>
      </c>
      <c r="K96" s="263" t="s">
        <v>221</v>
      </c>
      <c r="L96" s="311" t="s">
        <v>2193</v>
      </c>
      <c r="M96" s="262" t="s">
        <v>1013</v>
      </c>
      <c r="N96" s="262">
        <v>1</v>
      </c>
      <c r="O96" s="262">
        <v>1</v>
      </c>
      <c r="P96" s="262">
        <v>0</v>
      </c>
      <c r="Q96" s="263" t="s">
        <v>1371</v>
      </c>
      <c r="R96" s="308"/>
    </row>
    <row r="97" spans="1:18" s="283" customFormat="1" ht="56.25" x14ac:dyDescent="0.25">
      <c r="A97" s="262">
        <v>40</v>
      </c>
      <c r="B97" s="586"/>
      <c r="C97" s="262" t="s">
        <v>910</v>
      </c>
      <c r="D97" s="262">
        <v>35</v>
      </c>
      <c r="E97" s="570"/>
      <c r="F97" s="568"/>
      <c r="G97" s="570"/>
      <c r="H97" s="572"/>
      <c r="I97" s="262">
        <v>35</v>
      </c>
      <c r="J97" s="262" t="s">
        <v>927</v>
      </c>
      <c r="K97" s="263" t="s">
        <v>221</v>
      </c>
      <c r="L97" s="311" t="s">
        <v>2181</v>
      </c>
      <c r="M97" s="262" t="s">
        <v>1013</v>
      </c>
      <c r="N97" s="262">
        <v>35</v>
      </c>
      <c r="O97" s="262">
        <v>35</v>
      </c>
      <c r="P97" s="262">
        <v>0</v>
      </c>
      <c r="Q97" s="263" t="s">
        <v>1371</v>
      </c>
      <c r="R97" s="308"/>
    </row>
    <row r="98" spans="1:18" s="283" customFormat="1" ht="75" x14ac:dyDescent="0.25">
      <c r="A98" s="262">
        <v>41</v>
      </c>
      <c r="B98" s="586" t="s">
        <v>921</v>
      </c>
      <c r="C98" s="262" t="s">
        <v>796</v>
      </c>
      <c r="D98" s="262">
        <v>32</v>
      </c>
      <c r="E98" s="570"/>
      <c r="F98" s="568"/>
      <c r="G98" s="570"/>
      <c r="H98" s="572"/>
      <c r="I98" s="262">
        <v>32</v>
      </c>
      <c r="J98" s="262" t="s">
        <v>927</v>
      </c>
      <c r="K98" s="263" t="s">
        <v>221</v>
      </c>
      <c r="L98" s="311" t="s">
        <v>2175</v>
      </c>
      <c r="M98" s="262" t="s">
        <v>1013</v>
      </c>
      <c r="N98" s="262">
        <v>32</v>
      </c>
      <c r="O98" s="262">
        <v>32</v>
      </c>
      <c r="P98" s="262">
        <v>0</v>
      </c>
      <c r="Q98" s="263" t="s">
        <v>1371</v>
      </c>
      <c r="R98" s="308"/>
    </row>
    <row r="99" spans="1:18" s="283" customFormat="1" ht="37.5" x14ac:dyDescent="0.25">
      <c r="A99" s="262">
        <v>42</v>
      </c>
      <c r="B99" s="586"/>
      <c r="C99" s="262" t="s">
        <v>917</v>
      </c>
      <c r="D99" s="262">
        <v>2</v>
      </c>
      <c r="E99" s="570"/>
      <c r="F99" s="568"/>
      <c r="G99" s="570"/>
      <c r="H99" s="572"/>
      <c r="I99" s="262">
        <v>2</v>
      </c>
      <c r="J99" s="262" t="s">
        <v>927</v>
      </c>
      <c r="K99" s="263" t="s">
        <v>221</v>
      </c>
      <c r="L99" s="311" t="s">
        <v>2204</v>
      </c>
      <c r="M99" s="262" t="s">
        <v>1013</v>
      </c>
      <c r="N99" s="262">
        <v>2</v>
      </c>
      <c r="O99" s="262">
        <v>2</v>
      </c>
      <c r="P99" s="262">
        <v>0</v>
      </c>
      <c r="Q99" s="263" t="s">
        <v>1371</v>
      </c>
      <c r="R99" s="308"/>
    </row>
    <row r="100" spans="1:18" s="283" customFormat="1" x14ac:dyDescent="0.25">
      <c r="A100" s="262">
        <v>43</v>
      </c>
      <c r="B100" s="586"/>
      <c r="C100" s="262" t="s">
        <v>918</v>
      </c>
      <c r="D100" s="262">
        <v>1</v>
      </c>
      <c r="E100" s="570"/>
      <c r="F100" s="568"/>
      <c r="G100" s="570"/>
      <c r="H100" s="572"/>
      <c r="I100" s="262">
        <v>1</v>
      </c>
      <c r="J100" s="262" t="s">
        <v>927</v>
      </c>
      <c r="K100" s="263" t="s">
        <v>221</v>
      </c>
      <c r="L100" s="311" t="s">
        <v>2194</v>
      </c>
      <c r="M100" s="262" t="s">
        <v>1013</v>
      </c>
      <c r="N100" s="262">
        <v>1</v>
      </c>
      <c r="O100" s="262">
        <v>1</v>
      </c>
      <c r="P100" s="262">
        <v>0</v>
      </c>
      <c r="Q100" s="263" t="s">
        <v>1371</v>
      </c>
      <c r="R100" s="308"/>
    </row>
    <row r="101" spans="1:18" s="283" customFormat="1" ht="75" x14ac:dyDescent="0.25">
      <c r="A101" s="262">
        <v>44</v>
      </c>
      <c r="B101" s="586"/>
      <c r="C101" s="262" t="s">
        <v>910</v>
      </c>
      <c r="D101" s="262">
        <v>44</v>
      </c>
      <c r="E101" s="570"/>
      <c r="F101" s="568"/>
      <c r="G101" s="570"/>
      <c r="H101" s="572"/>
      <c r="I101" s="262">
        <v>44</v>
      </c>
      <c r="J101" s="262" t="s">
        <v>927</v>
      </c>
      <c r="K101" s="263" t="s">
        <v>221</v>
      </c>
      <c r="L101" s="311" t="s">
        <v>2184</v>
      </c>
      <c r="M101" s="262" t="s">
        <v>1013</v>
      </c>
      <c r="N101" s="262">
        <v>44</v>
      </c>
      <c r="O101" s="262">
        <v>44</v>
      </c>
      <c r="P101" s="262">
        <v>0</v>
      </c>
      <c r="Q101" s="263" t="s">
        <v>1371</v>
      </c>
      <c r="R101" s="308"/>
    </row>
    <row r="102" spans="1:18" s="283" customFormat="1" ht="75" x14ac:dyDescent="0.25">
      <c r="A102" s="262">
        <v>45</v>
      </c>
      <c r="B102" s="586" t="s">
        <v>922</v>
      </c>
      <c r="C102" s="262" t="s">
        <v>796</v>
      </c>
      <c r="D102" s="262">
        <v>19</v>
      </c>
      <c r="E102" s="570"/>
      <c r="F102" s="568"/>
      <c r="G102" s="570"/>
      <c r="H102" s="572"/>
      <c r="I102" s="262">
        <v>19</v>
      </c>
      <c r="J102" s="262" t="s">
        <v>927</v>
      </c>
      <c r="K102" s="263" t="s">
        <v>221</v>
      </c>
      <c r="L102" s="311" t="s">
        <v>2176</v>
      </c>
      <c r="M102" s="262" t="s">
        <v>1013</v>
      </c>
      <c r="N102" s="262">
        <v>19</v>
      </c>
      <c r="O102" s="262">
        <v>19</v>
      </c>
      <c r="P102" s="262">
        <v>0</v>
      </c>
      <c r="Q102" s="263" t="s">
        <v>1371</v>
      </c>
      <c r="R102" s="308"/>
    </row>
    <row r="103" spans="1:18" s="283" customFormat="1" ht="37.5" x14ac:dyDescent="0.25">
      <c r="A103" s="262">
        <v>46</v>
      </c>
      <c r="B103" s="586"/>
      <c r="C103" s="262" t="s">
        <v>917</v>
      </c>
      <c r="D103" s="262">
        <v>2</v>
      </c>
      <c r="E103" s="570"/>
      <c r="F103" s="568"/>
      <c r="G103" s="570"/>
      <c r="H103" s="572"/>
      <c r="I103" s="262">
        <v>2</v>
      </c>
      <c r="J103" s="262" t="s">
        <v>927</v>
      </c>
      <c r="K103" s="263" t="s">
        <v>221</v>
      </c>
      <c r="L103" s="311" t="s">
        <v>2205</v>
      </c>
      <c r="M103" s="262" t="s">
        <v>1013</v>
      </c>
      <c r="N103" s="262">
        <v>2</v>
      </c>
      <c r="O103" s="262">
        <v>2</v>
      </c>
      <c r="P103" s="262">
        <v>0</v>
      </c>
      <c r="Q103" s="263" t="s">
        <v>1371</v>
      </c>
      <c r="R103" s="308"/>
    </row>
    <row r="104" spans="1:18" s="283" customFormat="1" x14ac:dyDescent="0.25">
      <c r="A104" s="262">
        <v>47</v>
      </c>
      <c r="B104" s="586"/>
      <c r="C104" s="262" t="s">
        <v>918</v>
      </c>
      <c r="D104" s="262">
        <v>1</v>
      </c>
      <c r="E104" s="570"/>
      <c r="F104" s="568"/>
      <c r="G104" s="570"/>
      <c r="H104" s="572"/>
      <c r="I104" s="262">
        <v>1</v>
      </c>
      <c r="J104" s="262" t="s">
        <v>927</v>
      </c>
      <c r="K104" s="263" t="s">
        <v>221</v>
      </c>
      <c r="L104" s="311" t="s">
        <v>2195</v>
      </c>
      <c r="M104" s="262" t="s">
        <v>1013</v>
      </c>
      <c r="N104" s="262">
        <v>1</v>
      </c>
      <c r="O104" s="262">
        <v>1</v>
      </c>
      <c r="P104" s="262">
        <v>0</v>
      </c>
      <c r="Q104" s="263" t="s">
        <v>1371</v>
      </c>
      <c r="R104" s="308"/>
    </row>
    <row r="105" spans="1:18" s="283" customFormat="1" ht="75" x14ac:dyDescent="0.25">
      <c r="A105" s="262">
        <v>48</v>
      </c>
      <c r="B105" s="586"/>
      <c r="C105" s="262" t="s">
        <v>910</v>
      </c>
      <c r="D105" s="262">
        <v>31</v>
      </c>
      <c r="E105" s="570"/>
      <c r="F105" s="568"/>
      <c r="G105" s="570"/>
      <c r="H105" s="572"/>
      <c r="I105" s="262">
        <v>31</v>
      </c>
      <c r="J105" s="262" t="s">
        <v>927</v>
      </c>
      <c r="K105" s="263" t="s">
        <v>221</v>
      </c>
      <c r="L105" s="311" t="s">
        <v>2182</v>
      </c>
      <c r="M105" s="262" t="s">
        <v>1013</v>
      </c>
      <c r="N105" s="262">
        <v>31</v>
      </c>
      <c r="O105" s="262">
        <v>31</v>
      </c>
      <c r="P105" s="262">
        <v>0</v>
      </c>
      <c r="Q105" s="263" t="s">
        <v>1371</v>
      </c>
      <c r="R105" s="308"/>
    </row>
    <row r="106" spans="1:18" s="283" customFormat="1" ht="75" x14ac:dyDescent="0.25">
      <c r="A106" s="262">
        <v>49</v>
      </c>
      <c r="B106" s="571" t="s">
        <v>923</v>
      </c>
      <c r="C106" s="262" t="s">
        <v>796</v>
      </c>
      <c r="D106" s="262">
        <v>19</v>
      </c>
      <c r="E106" s="570"/>
      <c r="F106" s="568"/>
      <c r="G106" s="570"/>
      <c r="H106" s="572"/>
      <c r="I106" s="262">
        <v>19</v>
      </c>
      <c r="J106" s="262" t="s">
        <v>927</v>
      </c>
      <c r="K106" s="263" t="s">
        <v>221</v>
      </c>
      <c r="L106" s="311" t="s">
        <v>2177</v>
      </c>
      <c r="M106" s="262" t="s">
        <v>1013</v>
      </c>
      <c r="N106" s="262">
        <v>19</v>
      </c>
      <c r="O106" s="262">
        <v>19</v>
      </c>
      <c r="P106" s="262">
        <v>0</v>
      </c>
      <c r="Q106" s="263" t="s">
        <v>1371</v>
      </c>
      <c r="R106" s="308"/>
    </row>
    <row r="107" spans="1:18" s="283" customFormat="1" ht="37.5" x14ac:dyDescent="0.25">
      <c r="A107" s="262">
        <v>50</v>
      </c>
      <c r="B107" s="571"/>
      <c r="C107" s="262" t="s">
        <v>917</v>
      </c>
      <c r="D107" s="262">
        <v>2</v>
      </c>
      <c r="E107" s="570"/>
      <c r="F107" s="568"/>
      <c r="G107" s="570"/>
      <c r="H107" s="572"/>
      <c r="I107" s="262">
        <v>2</v>
      </c>
      <c r="J107" s="262" t="s">
        <v>927</v>
      </c>
      <c r="K107" s="263" t="s">
        <v>221</v>
      </c>
      <c r="L107" s="311" t="s">
        <v>2203</v>
      </c>
      <c r="M107" s="262" t="s">
        <v>1013</v>
      </c>
      <c r="N107" s="262">
        <v>2</v>
      </c>
      <c r="O107" s="262">
        <v>2</v>
      </c>
      <c r="P107" s="262">
        <v>0</v>
      </c>
      <c r="Q107" s="263" t="s">
        <v>1371</v>
      </c>
      <c r="R107" s="308"/>
    </row>
    <row r="108" spans="1:18" s="283" customFormat="1" x14ac:dyDescent="0.25">
      <c r="A108" s="262">
        <v>51</v>
      </c>
      <c r="B108" s="571"/>
      <c r="C108" s="262" t="s">
        <v>918</v>
      </c>
      <c r="D108" s="262">
        <v>1</v>
      </c>
      <c r="E108" s="570"/>
      <c r="F108" s="568"/>
      <c r="G108" s="570"/>
      <c r="H108" s="572"/>
      <c r="I108" s="262">
        <v>1</v>
      </c>
      <c r="J108" s="262" t="s">
        <v>927</v>
      </c>
      <c r="K108" s="263" t="s">
        <v>221</v>
      </c>
      <c r="L108" s="311" t="s">
        <v>2196</v>
      </c>
      <c r="M108" s="262" t="s">
        <v>1013</v>
      </c>
      <c r="N108" s="262">
        <v>1</v>
      </c>
      <c r="O108" s="262">
        <v>1</v>
      </c>
      <c r="P108" s="262">
        <v>0</v>
      </c>
      <c r="Q108" s="263" t="s">
        <v>1371</v>
      </c>
      <c r="R108" s="308"/>
    </row>
    <row r="109" spans="1:18" s="283" customFormat="1" ht="75" x14ac:dyDescent="0.25">
      <c r="A109" s="262">
        <v>52</v>
      </c>
      <c r="B109" s="571"/>
      <c r="C109" s="262" t="s">
        <v>910</v>
      </c>
      <c r="D109" s="262">
        <v>31</v>
      </c>
      <c r="E109" s="570"/>
      <c r="F109" s="568"/>
      <c r="G109" s="570"/>
      <c r="H109" s="572"/>
      <c r="I109" s="262">
        <v>31</v>
      </c>
      <c r="J109" s="262" t="s">
        <v>927</v>
      </c>
      <c r="K109" s="263" t="s">
        <v>221</v>
      </c>
      <c r="L109" s="311" t="s">
        <v>2183</v>
      </c>
      <c r="M109" s="262" t="s">
        <v>1013</v>
      </c>
      <c r="N109" s="262">
        <v>31</v>
      </c>
      <c r="O109" s="262">
        <v>31</v>
      </c>
      <c r="P109" s="262">
        <v>0</v>
      </c>
      <c r="Q109" s="263" t="s">
        <v>1371</v>
      </c>
      <c r="R109" s="308"/>
    </row>
    <row r="110" spans="1:18" s="283" customFormat="1" ht="75" x14ac:dyDescent="0.25">
      <c r="A110" s="262">
        <v>53</v>
      </c>
      <c r="B110" s="571" t="s">
        <v>924</v>
      </c>
      <c r="C110" s="262" t="s">
        <v>796</v>
      </c>
      <c r="D110" s="262">
        <v>20</v>
      </c>
      <c r="E110" s="570"/>
      <c r="F110" s="568"/>
      <c r="G110" s="570"/>
      <c r="H110" s="572"/>
      <c r="I110" s="262">
        <v>20</v>
      </c>
      <c r="J110" s="262" t="s">
        <v>927</v>
      </c>
      <c r="K110" s="263" t="s">
        <v>221</v>
      </c>
      <c r="L110" s="311" t="s">
        <v>2178</v>
      </c>
      <c r="M110" s="262" t="s">
        <v>1013</v>
      </c>
      <c r="N110" s="262">
        <v>20</v>
      </c>
      <c r="O110" s="262">
        <v>20</v>
      </c>
      <c r="P110" s="262">
        <v>0</v>
      </c>
      <c r="Q110" s="263" t="s">
        <v>1371</v>
      </c>
      <c r="R110" s="308"/>
    </row>
    <row r="111" spans="1:18" s="283" customFormat="1" ht="37.5" x14ac:dyDescent="0.25">
      <c r="A111" s="262">
        <v>54</v>
      </c>
      <c r="B111" s="571"/>
      <c r="C111" s="262" t="s">
        <v>917</v>
      </c>
      <c r="D111" s="262">
        <v>2</v>
      </c>
      <c r="E111" s="570"/>
      <c r="F111" s="568"/>
      <c r="G111" s="570"/>
      <c r="H111" s="572"/>
      <c r="I111" s="262">
        <v>2</v>
      </c>
      <c r="J111" s="262" t="s">
        <v>927</v>
      </c>
      <c r="K111" s="263" t="s">
        <v>221</v>
      </c>
      <c r="L111" s="311" t="s">
        <v>2206</v>
      </c>
      <c r="M111" s="262" t="s">
        <v>1013</v>
      </c>
      <c r="N111" s="262">
        <v>2</v>
      </c>
      <c r="O111" s="262">
        <v>2</v>
      </c>
      <c r="P111" s="262">
        <v>0</v>
      </c>
      <c r="Q111" s="263" t="s">
        <v>1371</v>
      </c>
      <c r="R111" s="308"/>
    </row>
    <row r="112" spans="1:18" s="283" customFormat="1" x14ac:dyDescent="0.25">
      <c r="A112" s="262">
        <v>55</v>
      </c>
      <c r="B112" s="571"/>
      <c r="C112" s="262" t="s">
        <v>918</v>
      </c>
      <c r="D112" s="262">
        <v>1</v>
      </c>
      <c r="E112" s="570"/>
      <c r="F112" s="568"/>
      <c r="G112" s="570"/>
      <c r="H112" s="572"/>
      <c r="I112" s="262">
        <v>1</v>
      </c>
      <c r="J112" s="262" t="s">
        <v>927</v>
      </c>
      <c r="K112" s="263" t="s">
        <v>221</v>
      </c>
      <c r="L112" s="311" t="s">
        <v>2197</v>
      </c>
      <c r="M112" s="262" t="s">
        <v>1013</v>
      </c>
      <c r="N112" s="262">
        <v>1</v>
      </c>
      <c r="O112" s="262">
        <v>1</v>
      </c>
      <c r="P112" s="262">
        <v>0</v>
      </c>
      <c r="Q112" s="263" t="s">
        <v>1371</v>
      </c>
      <c r="R112" s="308"/>
    </row>
    <row r="113" spans="1:18" s="283" customFormat="1" ht="75" x14ac:dyDescent="0.25">
      <c r="A113" s="262">
        <v>56</v>
      </c>
      <c r="B113" s="571"/>
      <c r="C113" s="262" t="s">
        <v>910</v>
      </c>
      <c r="D113" s="262">
        <v>32</v>
      </c>
      <c r="E113" s="570"/>
      <c r="F113" s="568"/>
      <c r="G113" s="570"/>
      <c r="H113" s="572"/>
      <c r="I113" s="262">
        <v>32</v>
      </c>
      <c r="J113" s="262" t="s">
        <v>927</v>
      </c>
      <c r="K113" s="263" t="s">
        <v>221</v>
      </c>
      <c r="L113" s="311" t="s">
        <v>2185</v>
      </c>
      <c r="M113" s="262" t="s">
        <v>1013</v>
      </c>
      <c r="N113" s="262">
        <v>32</v>
      </c>
      <c r="O113" s="262">
        <v>32</v>
      </c>
      <c r="P113" s="262">
        <v>0</v>
      </c>
      <c r="Q113" s="263" t="s">
        <v>1371</v>
      </c>
      <c r="R113" s="308"/>
    </row>
    <row r="114" spans="1:18" s="283" customFormat="1" ht="75" x14ac:dyDescent="0.25">
      <c r="A114" s="262">
        <v>57</v>
      </c>
      <c r="B114" s="571" t="s">
        <v>925</v>
      </c>
      <c r="C114" s="262" t="s">
        <v>796</v>
      </c>
      <c r="D114" s="262">
        <v>26</v>
      </c>
      <c r="E114" s="570"/>
      <c r="F114" s="568"/>
      <c r="G114" s="570"/>
      <c r="H114" s="572"/>
      <c r="I114" s="262">
        <v>26</v>
      </c>
      <c r="J114" s="262" t="s">
        <v>927</v>
      </c>
      <c r="K114" s="263" t="s">
        <v>221</v>
      </c>
      <c r="L114" s="311" t="s">
        <v>2179</v>
      </c>
      <c r="M114" s="262" t="s">
        <v>1013</v>
      </c>
      <c r="N114" s="262">
        <v>26</v>
      </c>
      <c r="O114" s="262">
        <v>26</v>
      </c>
      <c r="P114" s="262">
        <v>0</v>
      </c>
      <c r="Q114" s="263" t="s">
        <v>1371</v>
      </c>
      <c r="R114" s="308"/>
    </row>
    <row r="115" spans="1:18" s="283" customFormat="1" ht="37.5" x14ac:dyDescent="0.25">
      <c r="A115" s="262">
        <v>58</v>
      </c>
      <c r="B115" s="571"/>
      <c r="C115" s="262" t="s">
        <v>917</v>
      </c>
      <c r="D115" s="262">
        <v>2</v>
      </c>
      <c r="E115" s="570"/>
      <c r="F115" s="568"/>
      <c r="G115" s="570"/>
      <c r="H115" s="572"/>
      <c r="I115" s="262">
        <v>2</v>
      </c>
      <c r="J115" s="262" t="s">
        <v>927</v>
      </c>
      <c r="K115" s="263" t="s">
        <v>221</v>
      </c>
      <c r="L115" s="311" t="s">
        <v>2207</v>
      </c>
      <c r="M115" s="262" t="s">
        <v>1013</v>
      </c>
      <c r="N115" s="262">
        <v>2</v>
      </c>
      <c r="O115" s="262">
        <v>2</v>
      </c>
      <c r="P115" s="262">
        <v>0</v>
      </c>
      <c r="Q115" s="263" t="s">
        <v>1371</v>
      </c>
      <c r="R115" s="308"/>
    </row>
    <row r="116" spans="1:18" s="283" customFormat="1" x14ac:dyDescent="0.25">
      <c r="A116" s="262">
        <v>59</v>
      </c>
      <c r="B116" s="571"/>
      <c r="C116" s="262" t="s">
        <v>918</v>
      </c>
      <c r="D116" s="262">
        <v>1</v>
      </c>
      <c r="E116" s="570"/>
      <c r="F116" s="568"/>
      <c r="G116" s="570"/>
      <c r="H116" s="572"/>
      <c r="I116" s="262">
        <v>1</v>
      </c>
      <c r="J116" s="262" t="s">
        <v>927</v>
      </c>
      <c r="K116" s="263" t="s">
        <v>221</v>
      </c>
      <c r="L116" s="311" t="s">
        <v>2198</v>
      </c>
      <c r="M116" s="262" t="s">
        <v>1013</v>
      </c>
      <c r="N116" s="262">
        <v>1</v>
      </c>
      <c r="O116" s="262">
        <v>1</v>
      </c>
      <c r="P116" s="262">
        <v>0</v>
      </c>
      <c r="Q116" s="263" t="s">
        <v>1371</v>
      </c>
      <c r="R116" s="308"/>
    </row>
    <row r="117" spans="1:18" s="283" customFormat="1" ht="75" x14ac:dyDescent="0.25">
      <c r="A117" s="262">
        <v>60</v>
      </c>
      <c r="B117" s="571"/>
      <c r="C117" s="262" t="s">
        <v>910</v>
      </c>
      <c r="D117" s="262">
        <v>38</v>
      </c>
      <c r="E117" s="570"/>
      <c r="F117" s="568"/>
      <c r="G117" s="570"/>
      <c r="H117" s="572"/>
      <c r="I117" s="262">
        <v>38</v>
      </c>
      <c r="J117" s="262" t="s">
        <v>927</v>
      </c>
      <c r="K117" s="263" t="s">
        <v>221</v>
      </c>
      <c r="L117" s="311" t="s">
        <v>2186</v>
      </c>
      <c r="M117" s="262" t="s">
        <v>1013</v>
      </c>
      <c r="N117" s="262">
        <v>38</v>
      </c>
      <c r="O117" s="262">
        <v>38</v>
      </c>
      <c r="P117" s="262">
        <v>0</v>
      </c>
      <c r="Q117" s="263" t="s">
        <v>1371</v>
      </c>
      <c r="R117" s="308"/>
    </row>
    <row r="118" spans="1:18" s="283" customFormat="1" ht="15" customHeight="1" x14ac:dyDescent="0.25">
      <c r="A118" s="262">
        <v>61</v>
      </c>
      <c r="B118" s="571" t="s">
        <v>928</v>
      </c>
      <c r="C118" s="262" t="s">
        <v>917</v>
      </c>
      <c r="D118" s="262">
        <v>1</v>
      </c>
      <c r="E118" s="570"/>
      <c r="F118" s="568"/>
      <c r="G118" s="570"/>
      <c r="H118" s="572"/>
      <c r="I118" s="262">
        <v>1</v>
      </c>
      <c r="J118" s="262" t="s">
        <v>927</v>
      </c>
      <c r="K118" s="263" t="s">
        <v>221</v>
      </c>
      <c r="L118" s="311" t="s">
        <v>2208</v>
      </c>
      <c r="M118" s="262" t="s">
        <v>1013</v>
      </c>
      <c r="N118" s="262">
        <v>1</v>
      </c>
      <c r="O118" s="262">
        <v>1</v>
      </c>
      <c r="P118" s="262">
        <v>0</v>
      </c>
      <c r="Q118" s="263" t="s">
        <v>1371</v>
      </c>
      <c r="R118" s="308"/>
    </row>
    <row r="119" spans="1:18" s="283" customFormat="1" x14ac:dyDescent="0.25">
      <c r="A119" s="262">
        <v>62</v>
      </c>
      <c r="B119" s="571"/>
      <c r="C119" s="262" t="s">
        <v>918</v>
      </c>
      <c r="D119" s="262">
        <v>1</v>
      </c>
      <c r="E119" s="570"/>
      <c r="F119" s="568"/>
      <c r="G119" s="570"/>
      <c r="H119" s="572"/>
      <c r="I119" s="262">
        <v>1</v>
      </c>
      <c r="J119" s="262" t="s">
        <v>927</v>
      </c>
      <c r="K119" s="263" t="s">
        <v>221</v>
      </c>
      <c r="L119" s="311" t="s">
        <v>2199</v>
      </c>
      <c r="M119" s="262" t="s">
        <v>1013</v>
      </c>
      <c r="N119" s="262">
        <v>1</v>
      </c>
      <c r="O119" s="262">
        <v>1</v>
      </c>
      <c r="P119" s="262">
        <v>0</v>
      </c>
      <c r="Q119" s="263" t="s">
        <v>1371</v>
      </c>
      <c r="R119" s="308"/>
    </row>
    <row r="120" spans="1:18" s="283" customFormat="1" ht="75" x14ac:dyDescent="0.25">
      <c r="A120" s="262">
        <v>63</v>
      </c>
      <c r="B120" s="571"/>
      <c r="C120" s="262" t="s">
        <v>910</v>
      </c>
      <c r="D120" s="262">
        <v>10</v>
      </c>
      <c r="E120" s="570"/>
      <c r="F120" s="568"/>
      <c r="G120" s="570"/>
      <c r="H120" s="572"/>
      <c r="I120" s="262">
        <v>10</v>
      </c>
      <c r="J120" s="262" t="s">
        <v>927</v>
      </c>
      <c r="K120" s="263" t="s">
        <v>221</v>
      </c>
      <c r="L120" s="311" t="s">
        <v>2187</v>
      </c>
      <c r="M120" s="262" t="s">
        <v>1013</v>
      </c>
      <c r="N120" s="262">
        <v>10</v>
      </c>
      <c r="O120" s="262">
        <v>10</v>
      </c>
      <c r="P120" s="262">
        <v>0</v>
      </c>
      <c r="Q120" s="263" t="s">
        <v>1371</v>
      </c>
      <c r="R120" s="308"/>
    </row>
    <row r="121" spans="1:18" s="283" customFormat="1" x14ac:dyDescent="0.25">
      <c r="A121" s="262">
        <v>64</v>
      </c>
      <c r="B121" s="571"/>
      <c r="C121" s="35" t="s">
        <v>929</v>
      </c>
      <c r="D121" s="262">
        <v>1</v>
      </c>
      <c r="E121" s="570"/>
      <c r="F121" s="568"/>
      <c r="G121" s="570"/>
      <c r="H121" s="572"/>
      <c r="I121" s="262">
        <v>1</v>
      </c>
      <c r="J121" s="262" t="s">
        <v>927</v>
      </c>
      <c r="K121" s="263" t="s">
        <v>221</v>
      </c>
      <c r="L121" s="311" t="s">
        <v>2219</v>
      </c>
      <c r="M121" s="262" t="s">
        <v>1013</v>
      </c>
      <c r="N121" s="262">
        <v>1</v>
      </c>
      <c r="O121" s="262">
        <v>1</v>
      </c>
      <c r="P121" s="262">
        <v>0</v>
      </c>
      <c r="Q121" s="263" t="s">
        <v>1371</v>
      </c>
      <c r="R121" s="308"/>
    </row>
    <row r="122" spans="1:18" s="283" customFormat="1" x14ac:dyDescent="0.25">
      <c r="A122" s="262">
        <v>65</v>
      </c>
      <c r="B122" s="571"/>
      <c r="C122" s="35" t="s">
        <v>930</v>
      </c>
      <c r="D122" s="262">
        <v>2</v>
      </c>
      <c r="E122" s="570"/>
      <c r="F122" s="568"/>
      <c r="G122" s="570"/>
      <c r="H122" s="572"/>
      <c r="I122" s="262">
        <v>2</v>
      </c>
      <c r="J122" s="262" t="s">
        <v>927</v>
      </c>
      <c r="K122" s="263" t="s">
        <v>221</v>
      </c>
      <c r="L122" s="311" t="s">
        <v>2220</v>
      </c>
      <c r="M122" s="262" t="s">
        <v>1013</v>
      </c>
      <c r="N122" s="262">
        <v>2</v>
      </c>
      <c r="O122" s="262">
        <v>2</v>
      </c>
      <c r="P122" s="262">
        <v>0</v>
      </c>
      <c r="Q122" s="263" t="s">
        <v>1371</v>
      </c>
      <c r="R122" s="308"/>
    </row>
    <row r="123" spans="1:18" s="283" customFormat="1" x14ac:dyDescent="0.25">
      <c r="A123" s="262">
        <v>66</v>
      </c>
      <c r="B123" s="571" t="s">
        <v>931</v>
      </c>
      <c r="C123" s="35" t="s">
        <v>932</v>
      </c>
      <c r="D123" s="262">
        <v>1</v>
      </c>
      <c r="E123" s="570"/>
      <c r="F123" s="568"/>
      <c r="G123" s="570"/>
      <c r="H123" s="572"/>
      <c r="I123" s="262">
        <v>1</v>
      </c>
      <c r="J123" s="262" t="s">
        <v>927</v>
      </c>
      <c r="K123" s="263" t="s">
        <v>221</v>
      </c>
      <c r="L123" s="311" t="s">
        <v>2221</v>
      </c>
      <c r="M123" s="262" t="s">
        <v>1013</v>
      </c>
      <c r="N123" s="262">
        <v>1</v>
      </c>
      <c r="O123" s="262">
        <v>1</v>
      </c>
      <c r="P123" s="262">
        <v>0</v>
      </c>
      <c r="Q123" s="263" t="s">
        <v>1371</v>
      </c>
      <c r="R123" s="308"/>
    </row>
    <row r="124" spans="1:18" s="283" customFormat="1" x14ac:dyDescent="0.25">
      <c r="A124" s="262">
        <v>67</v>
      </c>
      <c r="B124" s="571"/>
      <c r="C124" s="35" t="s">
        <v>933</v>
      </c>
      <c r="D124" s="262">
        <v>2</v>
      </c>
      <c r="E124" s="570"/>
      <c r="F124" s="568"/>
      <c r="G124" s="570"/>
      <c r="H124" s="572"/>
      <c r="I124" s="262">
        <v>2</v>
      </c>
      <c r="J124" s="262" t="s">
        <v>927</v>
      </c>
      <c r="K124" s="263" t="s">
        <v>221</v>
      </c>
      <c r="L124" s="311" t="s">
        <v>2222</v>
      </c>
      <c r="M124" s="262" t="s">
        <v>1013</v>
      </c>
      <c r="N124" s="262">
        <v>2</v>
      </c>
      <c r="O124" s="262">
        <v>2</v>
      </c>
      <c r="P124" s="262">
        <v>0</v>
      </c>
      <c r="Q124" s="263" t="s">
        <v>1371</v>
      </c>
      <c r="R124" s="308"/>
    </row>
    <row r="125" spans="1:18" s="283" customFormat="1" x14ac:dyDescent="0.25">
      <c r="A125" s="262">
        <v>68</v>
      </c>
      <c r="B125" s="264"/>
      <c r="C125" s="35" t="s">
        <v>934</v>
      </c>
      <c r="D125" s="262">
        <v>1</v>
      </c>
      <c r="E125" s="570"/>
      <c r="F125" s="568"/>
      <c r="G125" s="570"/>
      <c r="H125" s="572"/>
      <c r="I125" s="262">
        <v>1</v>
      </c>
      <c r="J125" s="262" t="s">
        <v>927</v>
      </c>
      <c r="K125" s="263" t="s">
        <v>221</v>
      </c>
      <c r="L125" s="311" t="s">
        <v>2223</v>
      </c>
      <c r="M125" s="262" t="s">
        <v>1013</v>
      </c>
      <c r="N125" s="262">
        <v>1</v>
      </c>
      <c r="O125" s="262">
        <v>1</v>
      </c>
      <c r="P125" s="262">
        <v>0</v>
      </c>
      <c r="Q125" s="263" t="s">
        <v>1371</v>
      </c>
      <c r="R125" s="308"/>
    </row>
    <row r="126" spans="1:18" s="283" customFormat="1" ht="37.5" x14ac:dyDescent="0.25">
      <c r="A126" s="262">
        <v>69</v>
      </c>
      <c r="B126" s="264"/>
      <c r="C126" s="35" t="s">
        <v>936</v>
      </c>
      <c r="D126" s="262">
        <v>2</v>
      </c>
      <c r="E126" s="570"/>
      <c r="F126" s="568"/>
      <c r="G126" s="570"/>
      <c r="H126" s="572"/>
      <c r="I126" s="262">
        <v>2</v>
      </c>
      <c r="J126" s="262" t="s">
        <v>927</v>
      </c>
      <c r="K126" s="262" t="s">
        <v>937</v>
      </c>
      <c r="L126" s="280" t="s">
        <v>2224</v>
      </c>
      <c r="M126" s="262" t="s">
        <v>1013</v>
      </c>
      <c r="N126" s="262">
        <v>2</v>
      </c>
      <c r="O126" s="262">
        <v>2</v>
      </c>
      <c r="P126" s="262">
        <v>0</v>
      </c>
      <c r="Q126" s="263" t="s">
        <v>1371</v>
      </c>
      <c r="R126" s="308"/>
    </row>
    <row r="127" spans="1:18" s="283" customFormat="1" ht="37.5" x14ac:dyDescent="0.25">
      <c r="A127" s="262">
        <v>70</v>
      </c>
      <c r="B127" s="264"/>
      <c r="C127" s="35" t="s">
        <v>935</v>
      </c>
      <c r="D127" s="262">
        <v>2</v>
      </c>
      <c r="E127" s="570"/>
      <c r="F127" s="568"/>
      <c r="G127" s="570"/>
      <c r="H127" s="572"/>
      <c r="I127" s="262">
        <v>2</v>
      </c>
      <c r="J127" s="262" t="s">
        <v>927</v>
      </c>
      <c r="K127" s="263" t="s">
        <v>221</v>
      </c>
      <c r="L127" s="311" t="s">
        <v>2225</v>
      </c>
      <c r="M127" s="262" t="s">
        <v>1013</v>
      </c>
      <c r="N127" s="262">
        <v>2</v>
      </c>
      <c r="O127" s="262">
        <v>2</v>
      </c>
      <c r="P127" s="262">
        <v>0</v>
      </c>
      <c r="Q127" s="263" t="s">
        <v>1371</v>
      </c>
      <c r="R127" s="308"/>
    </row>
    <row r="128" spans="1:18" s="283" customFormat="1" ht="56.25" x14ac:dyDescent="0.25">
      <c r="A128" s="262">
        <v>71</v>
      </c>
      <c r="B128" s="573" t="s">
        <v>938</v>
      </c>
      <c r="C128" s="35" t="s">
        <v>939</v>
      </c>
      <c r="D128" s="262">
        <v>9</v>
      </c>
      <c r="E128" s="570"/>
      <c r="F128" s="568"/>
      <c r="G128" s="570"/>
      <c r="H128" s="572"/>
      <c r="I128" s="262">
        <v>9</v>
      </c>
      <c r="J128" s="262" t="s">
        <v>927</v>
      </c>
      <c r="K128" s="263" t="s">
        <v>221</v>
      </c>
      <c r="L128" s="311" t="s">
        <v>2210</v>
      </c>
      <c r="M128" s="262" t="s">
        <v>1013</v>
      </c>
      <c r="N128" s="262">
        <v>9</v>
      </c>
      <c r="O128" s="262">
        <v>9</v>
      </c>
      <c r="P128" s="262">
        <v>0</v>
      </c>
      <c r="Q128" s="263" t="s">
        <v>1371</v>
      </c>
      <c r="R128" s="308"/>
    </row>
    <row r="129" spans="1:18" s="283" customFormat="1" ht="75" x14ac:dyDescent="0.25">
      <c r="A129" s="262">
        <v>72</v>
      </c>
      <c r="B129" s="573"/>
      <c r="C129" s="35" t="s">
        <v>910</v>
      </c>
      <c r="D129" s="262">
        <v>36</v>
      </c>
      <c r="E129" s="570"/>
      <c r="F129" s="568"/>
      <c r="G129" s="570"/>
      <c r="H129" s="572"/>
      <c r="I129" s="262">
        <v>36</v>
      </c>
      <c r="J129" s="262" t="s">
        <v>927</v>
      </c>
      <c r="K129" s="263" t="s">
        <v>221</v>
      </c>
      <c r="L129" s="311" t="s">
        <v>2188</v>
      </c>
      <c r="M129" s="262" t="s">
        <v>1013</v>
      </c>
      <c r="N129" s="262">
        <v>36</v>
      </c>
      <c r="O129" s="262">
        <v>36</v>
      </c>
      <c r="P129" s="262">
        <v>0</v>
      </c>
      <c r="Q129" s="263" t="s">
        <v>1371</v>
      </c>
      <c r="R129" s="308"/>
    </row>
    <row r="130" spans="1:18" s="283" customFormat="1" x14ac:dyDescent="0.25">
      <c r="A130" s="262">
        <v>73</v>
      </c>
      <c r="B130" s="573" t="s">
        <v>941</v>
      </c>
      <c r="C130" s="35" t="s">
        <v>909</v>
      </c>
      <c r="D130" s="262">
        <v>1</v>
      </c>
      <c r="E130" s="570"/>
      <c r="F130" s="568"/>
      <c r="G130" s="570"/>
      <c r="H130" s="572"/>
      <c r="I130" s="262">
        <v>1</v>
      </c>
      <c r="J130" s="262" t="s">
        <v>927</v>
      </c>
      <c r="K130" s="263" t="s">
        <v>221</v>
      </c>
      <c r="L130" s="311" t="s">
        <v>2197</v>
      </c>
      <c r="M130" s="262" t="s">
        <v>1013</v>
      </c>
      <c r="N130" s="262">
        <v>1</v>
      </c>
      <c r="O130" s="262">
        <v>1</v>
      </c>
      <c r="P130" s="262">
        <v>0</v>
      </c>
      <c r="Q130" s="263" t="s">
        <v>1371</v>
      </c>
      <c r="R130" s="308"/>
    </row>
    <row r="131" spans="1:18" s="283" customFormat="1" x14ac:dyDescent="0.25">
      <c r="A131" s="262">
        <v>74</v>
      </c>
      <c r="B131" s="573"/>
      <c r="C131" s="262" t="s">
        <v>945</v>
      </c>
      <c r="D131" s="262">
        <v>1</v>
      </c>
      <c r="E131" s="570"/>
      <c r="F131" s="568"/>
      <c r="G131" s="570"/>
      <c r="H131" s="572"/>
      <c r="I131" s="262">
        <v>1</v>
      </c>
      <c r="J131" s="262" t="s">
        <v>927</v>
      </c>
      <c r="K131" s="263" t="s">
        <v>221</v>
      </c>
      <c r="L131" s="311" t="s">
        <v>2259</v>
      </c>
      <c r="M131" s="262" t="s">
        <v>1013</v>
      </c>
      <c r="N131" s="262">
        <v>1</v>
      </c>
      <c r="O131" s="262">
        <v>1</v>
      </c>
      <c r="P131" s="262">
        <v>0</v>
      </c>
      <c r="Q131" s="263" t="s">
        <v>1371</v>
      </c>
      <c r="R131" s="308"/>
    </row>
    <row r="132" spans="1:18" s="283" customFormat="1" ht="56.25" x14ac:dyDescent="0.25">
      <c r="A132" s="262">
        <v>75</v>
      </c>
      <c r="B132" s="573"/>
      <c r="C132" s="35" t="s">
        <v>910</v>
      </c>
      <c r="D132" s="262">
        <v>13</v>
      </c>
      <c r="E132" s="570"/>
      <c r="F132" s="568"/>
      <c r="G132" s="570"/>
      <c r="H132" s="572"/>
      <c r="I132" s="262">
        <v>13</v>
      </c>
      <c r="J132" s="262" t="s">
        <v>927</v>
      </c>
      <c r="K132" s="263" t="s">
        <v>221</v>
      </c>
      <c r="L132" s="311" t="s">
        <v>2189</v>
      </c>
      <c r="M132" s="262" t="s">
        <v>1013</v>
      </c>
      <c r="N132" s="262">
        <v>13</v>
      </c>
      <c r="O132" s="262">
        <v>13</v>
      </c>
      <c r="P132" s="262">
        <v>0</v>
      </c>
      <c r="Q132" s="263" t="s">
        <v>1371</v>
      </c>
      <c r="R132" s="308"/>
    </row>
    <row r="133" spans="1:18" s="283" customFormat="1" ht="75" x14ac:dyDescent="0.25">
      <c r="A133" s="262">
        <v>76</v>
      </c>
      <c r="B133" s="264" t="s">
        <v>949</v>
      </c>
      <c r="C133" s="35" t="s">
        <v>910</v>
      </c>
      <c r="D133" s="262">
        <v>18</v>
      </c>
      <c r="E133" s="570"/>
      <c r="F133" s="568"/>
      <c r="G133" s="570"/>
      <c r="H133" s="572"/>
      <c r="I133" s="262">
        <v>18</v>
      </c>
      <c r="J133" s="262" t="s">
        <v>927</v>
      </c>
      <c r="K133" s="263" t="s">
        <v>221</v>
      </c>
      <c r="L133" s="311" t="s">
        <v>2190</v>
      </c>
      <c r="M133" s="262" t="s">
        <v>1013</v>
      </c>
      <c r="N133" s="262">
        <v>18</v>
      </c>
      <c r="O133" s="262">
        <v>18</v>
      </c>
      <c r="P133" s="262">
        <v>0</v>
      </c>
      <c r="Q133" s="263" t="s">
        <v>1371</v>
      </c>
      <c r="R133" s="308"/>
    </row>
    <row r="134" spans="1:18" s="283" customFormat="1" x14ac:dyDescent="0.25">
      <c r="A134" s="262">
        <v>77</v>
      </c>
      <c r="B134" s="264"/>
      <c r="C134" s="35" t="s">
        <v>934</v>
      </c>
      <c r="D134" s="262">
        <v>1</v>
      </c>
      <c r="E134" s="570"/>
      <c r="F134" s="568"/>
      <c r="G134" s="570"/>
      <c r="H134" s="572"/>
      <c r="I134" s="262">
        <v>1</v>
      </c>
      <c r="J134" s="262" t="s">
        <v>927</v>
      </c>
      <c r="K134" s="263" t="s">
        <v>221</v>
      </c>
      <c r="L134" s="311" t="s">
        <v>2198</v>
      </c>
      <c r="M134" s="262" t="s">
        <v>1013</v>
      </c>
      <c r="N134" s="262">
        <v>1</v>
      </c>
      <c r="O134" s="262">
        <v>1</v>
      </c>
      <c r="P134" s="262">
        <v>0</v>
      </c>
      <c r="Q134" s="263" t="s">
        <v>1371</v>
      </c>
      <c r="R134" s="308"/>
    </row>
    <row r="135" spans="1:18" s="283" customFormat="1" ht="37.5" x14ac:dyDescent="0.25">
      <c r="A135" s="262">
        <v>78</v>
      </c>
      <c r="B135" s="573" t="s">
        <v>942</v>
      </c>
      <c r="C135" s="262" t="s">
        <v>943</v>
      </c>
      <c r="D135" s="262">
        <v>5</v>
      </c>
      <c r="E135" s="570"/>
      <c r="F135" s="568"/>
      <c r="G135" s="570"/>
      <c r="H135" s="290">
        <v>216276.2</v>
      </c>
      <c r="I135" s="262">
        <v>5</v>
      </c>
      <c r="J135" s="262" t="s">
        <v>927</v>
      </c>
      <c r="K135" s="263" t="s">
        <v>221</v>
      </c>
      <c r="L135" s="311" t="s">
        <v>2213</v>
      </c>
      <c r="M135" s="262" t="s">
        <v>1013</v>
      </c>
      <c r="N135" s="262">
        <v>5</v>
      </c>
      <c r="O135" s="262">
        <v>5</v>
      </c>
      <c r="P135" s="262">
        <v>0</v>
      </c>
      <c r="Q135" s="263" t="s">
        <v>1371</v>
      </c>
      <c r="R135" s="308"/>
    </row>
    <row r="136" spans="1:18" s="283" customFormat="1" ht="75" x14ac:dyDescent="0.25">
      <c r="A136" s="262">
        <v>79</v>
      </c>
      <c r="B136" s="573"/>
      <c r="C136" s="262" t="s">
        <v>944</v>
      </c>
      <c r="D136" s="262">
        <v>2</v>
      </c>
      <c r="E136" s="570"/>
      <c r="F136" s="568"/>
      <c r="G136" s="570"/>
      <c r="H136" s="290">
        <v>89201.52</v>
      </c>
      <c r="I136" s="262">
        <v>2</v>
      </c>
      <c r="J136" s="262" t="s">
        <v>927</v>
      </c>
      <c r="K136" s="263" t="s">
        <v>221</v>
      </c>
      <c r="L136" s="366" t="s">
        <v>2218</v>
      </c>
      <c r="M136" s="262" t="s">
        <v>1013</v>
      </c>
      <c r="N136" s="262">
        <v>2</v>
      </c>
      <c r="O136" s="262">
        <v>2</v>
      </c>
      <c r="P136" s="262">
        <v>0</v>
      </c>
      <c r="Q136" s="263" t="s">
        <v>1371</v>
      </c>
      <c r="R136" s="308"/>
    </row>
    <row r="137" spans="1:18" s="283" customFormat="1" ht="56.25" x14ac:dyDescent="0.25">
      <c r="A137" s="262">
        <v>80</v>
      </c>
      <c r="B137" s="573"/>
      <c r="C137" s="262" t="s">
        <v>1147</v>
      </c>
      <c r="D137" s="262">
        <v>4</v>
      </c>
      <c r="E137" s="570"/>
      <c r="F137" s="568"/>
      <c r="G137" s="570"/>
      <c r="H137" s="290">
        <v>30420.720000000001</v>
      </c>
      <c r="I137" s="262">
        <v>4</v>
      </c>
      <c r="J137" s="262" t="s">
        <v>927</v>
      </c>
      <c r="K137" s="263" t="s">
        <v>221</v>
      </c>
      <c r="L137" s="311" t="s">
        <v>2229</v>
      </c>
      <c r="M137" s="262" t="s">
        <v>1013</v>
      </c>
      <c r="N137" s="262">
        <v>4</v>
      </c>
      <c r="O137" s="262">
        <v>4</v>
      </c>
      <c r="P137" s="262">
        <v>0</v>
      </c>
      <c r="Q137" s="263" t="s">
        <v>1371</v>
      </c>
      <c r="R137" s="308"/>
    </row>
    <row r="138" spans="1:18" s="283" customFormat="1" ht="56.25" x14ac:dyDescent="0.25">
      <c r="A138" s="262">
        <v>81</v>
      </c>
      <c r="B138" s="264"/>
      <c r="C138" s="35" t="s">
        <v>950</v>
      </c>
      <c r="D138" s="262">
        <v>3</v>
      </c>
      <c r="E138" s="262" t="s">
        <v>1180</v>
      </c>
      <c r="F138" s="291" t="s">
        <v>1181</v>
      </c>
      <c r="G138" s="263" t="s">
        <v>221</v>
      </c>
      <c r="H138" s="290">
        <v>64302</v>
      </c>
      <c r="I138" s="262">
        <v>3</v>
      </c>
      <c r="J138" s="262" t="s">
        <v>927</v>
      </c>
      <c r="K138" s="263" t="s">
        <v>221</v>
      </c>
      <c r="L138" s="311" t="s">
        <v>2230</v>
      </c>
      <c r="M138" s="262" t="s">
        <v>1013</v>
      </c>
      <c r="N138" s="262">
        <v>3</v>
      </c>
      <c r="O138" s="262">
        <v>3</v>
      </c>
      <c r="P138" s="262">
        <v>0</v>
      </c>
      <c r="Q138" s="263" t="s">
        <v>1371</v>
      </c>
      <c r="R138" s="308"/>
    </row>
    <row r="139" spans="1:18" s="283" customFormat="1" ht="37.5" x14ac:dyDescent="0.25">
      <c r="A139" s="262">
        <v>82</v>
      </c>
      <c r="B139" s="264"/>
      <c r="C139" s="35" t="s">
        <v>1179</v>
      </c>
      <c r="D139" s="262">
        <v>1</v>
      </c>
      <c r="E139" s="262" t="s">
        <v>1200</v>
      </c>
      <c r="F139" s="291" t="s">
        <v>1201</v>
      </c>
      <c r="G139" s="263" t="s">
        <v>221</v>
      </c>
      <c r="H139" s="290">
        <v>64800</v>
      </c>
      <c r="I139" s="262">
        <v>1</v>
      </c>
      <c r="J139" s="262" t="s">
        <v>927</v>
      </c>
      <c r="K139" s="263" t="s">
        <v>221</v>
      </c>
      <c r="L139" s="311" t="s">
        <v>2228</v>
      </c>
      <c r="M139" s="262" t="s">
        <v>1013</v>
      </c>
      <c r="N139" s="262">
        <v>1</v>
      </c>
      <c r="O139" s="262">
        <v>1</v>
      </c>
      <c r="P139" s="262">
        <v>0</v>
      </c>
      <c r="Q139" s="263" t="s">
        <v>1371</v>
      </c>
      <c r="R139" s="308"/>
    </row>
    <row r="140" spans="1:18" s="283" customFormat="1" x14ac:dyDescent="0.25">
      <c r="A140" s="262">
        <v>83</v>
      </c>
      <c r="B140" s="264"/>
      <c r="C140" s="35" t="s">
        <v>1234</v>
      </c>
      <c r="D140" s="262">
        <v>1</v>
      </c>
      <c r="E140" s="262" t="s">
        <v>1232</v>
      </c>
      <c r="F140" s="291" t="s">
        <v>1233</v>
      </c>
      <c r="G140" s="263" t="s">
        <v>221</v>
      </c>
      <c r="H140" s="290">
        <v>119999</v>
      </c>
      <c r="I140" s="262">
        <v>1</v>
      </c>
      <c r="J140" s="262" t="s">
        <v>839</v>
      </c>
      <c r="K140" s="263" t="s">
        <v>221</v>
      </c>
      <c r="L140" s="311" t="s">
        <v>2227</v>
      </c>
      <c r="M140" s="262" t="s">
        <v>1013</v>
      </c>
      <c r="N140" s="262">
        <v>1</v>
      </c>
      <c r="O140" s="262">
        <v>1</v>
      </c>
      <c r="P140" s="262">
        <v>0</v>
      </c>
      <c r="Q140" s="263" t="s">
        <v>1371</v>
      </c>
      <c r="R140" s="308"/>
    </row>
    <row r="141" spans="1:18" s="283" customFormat="1" ht="27" customHeight="1" x14ac:dyDescent="0.25">
      <c r="A141" s="262"/>
      <c r="B141" s="264"/>
      <c r="C141" s="35"/>
      <c r="D141" s="286">
        <f>SUM(D58:D140)</f>
        <v>2405</v>
      </c>
      <c r="E141" s="262"/>
      <c r="F141" s="291"/>
      <c r="G141" s="263"/>
      <c r="H141" s="292">
        <f>SUM(H58:H140)</f>
        <v>20261059.469999999</v>
      </c>
      <c r="I141" s="286">
        <f>SUM(I58:I140)</f>
        <v>2405</v>
      </c>
      <c r="J141" s="262"/>
      <c r="K141" s="263"/>
      <c r="L141" s="311"/>
      <c r="M141" s="262"/>
      <c r="N141" s="262"/>
      <c r="O141" s="262"/>
      <c r="P141" s="262"/>
      <c r="Q141" s="262"/>
      <c r="R141" s="321">
        <v>2405</v>
      </c>
    </row>
    <row r="142" spans="1:18" s="283" customFormat="1" x14ac:dyDescent="0.25">
      <c r="A142" s="576" t="s">
        <v>853</v>
      </c>
      <c r="B142" s="576"/>
      <c r="C142" s="576"/>
      <c r="D142" s="576"/>
      <c r="E142" s="576"/>
      <c r="F142" s="576"/>
      <c r="G142" s="576"/>
      <c r="H142" s="576"/>
      <c r="I142" s="576"/>
      <c r="J142" s="576"/>
      <c r="K142" s="576"/>
      <c r="L142" s="576"/>
      <c r="M142" s="576"/>
      <c r="N142" s="576"/>
      <c r="O142" s="576"/>
      <c r="P142" s="576"/>
      <c r="Q142" s="576"/>
      <c r="R142" s="308"/>
    </row>
    <row r="143" spans="1:18" s="283" customFormat="1" ht="43.5" customHeight="1" x14ac:dyDescent="0.25">
      <c r="A143" s="262">
        <v>1</v>
      </c>
      <c r="B143" s="571" t="s">
        <v>1186</v>
      </c>
      <c r="C143" s="575" t="s">
        <v>760</v>
      </c>
      <c r="D143" s="567">
        <v>2</v>
      </c>
      <c r="E143" s="567" t="s">
        <v>1188</v>
      </c>
      <c r="F143" s="568" t="s">
        <v>1174</v>
      </c>
      <c r="G143" s="570" t="s">
        <v>221</v>
      </c>
      <c r="H143" s="569">
        <v>140454</v>
      </c>
      <c r="I143" s="293">
        <v>1</v>
      </c>
      <c r="J143" s="262" t="s">
        <v>1004</v>
      </c>
      <c r="K143" s="263" t="s">
        <v>221</v>
      </c>
      <c r="L143" s="361" t="s">
        <v>2161</v>
      </c>
      <c r="M143" s="267" t="s">
        <v>873</v>
      </c>
      <c r="N143" s="293">
        <v>1</v>
      </c>
      <c r="O143" s="293">
        <v>1</v>
      </c>
      <c r="P143" s="262">
        <v>0</v>
      </c>
      <c r="Q143" s="263" t="s">
        <v>1371</v>
      </c>
      <c r="R143" s="308"/>
    </row>
    <row r="144" spans="1:18" s="283" customFormat="1" ht="37.5" x14ac:dyDescent="0.25">
      <c r="A144" s="262">
        <v>2</v>
      </c>
      <c r="B144" s="571"/>
      <c r="C144" s="575"/>
      <c r="D144" s="567"/>
      <c r="E144" s="567"/>
      <c r="F144" s="568"/>
      <c r="G144" s="570"/>
      <c r="H144" s="569"/>
      <c r="I144" s="293">
        <v>1</v>
      </c>
      <c r="J144" s="262" t="s">
        <v>876</v>
      </c>
      <c r="K144" s="263" t="s">
        <v>221</v>
      </c>
      <c r="L144" s="361" t="s">
        <v>2163</v>
      </c>
      <c r="M144" s="267" t="s">
        <v>873</v>
      </c>
      <c r="N144" s="293">
        <v>1</v>
      </c>
      <c r="O144" s="293">
        <v>1</v>
      </c>
      <c r="P144" s="262">
        <v>0</v>
      </c>
      <c r="Q144" s="263" t="s">
        <v>1371</v>
      </c>
      <c r="R144" s="308"/>
    </row>
    <row r="145" spans="1:18" s="283" customFormat="1" ht="37.5" x14ac:dyDescent="0.25">
      <c r="A145" s="262">
        <v>3</v>
      </c>
      <c r="B145" s="571"/>
      <c r="C145" s="294" t="s">
        <v>761</v>
      </c>
      <c r="D145" s="293">
        <v>2</v>
      </c>
      <c r="E145" s="567"/>
      <c r="F145" s="568"/>
      <c r="G145" s="570"/>
      <c r="H145" s="569"/>
      <c r="I145" s="293">
        <v>2</v>
      </c>
      <c r="J145" s="262" t="s">
        <v>1004</v>
      </c>
      <c r="K145" s="263" t="s">
        <v>221</v>
      </c>
      <c r="L145" s="311" t="s">
        <v>2162</v>
      </c>
      <c r="M145" s="267" t="s">
        <v>873</v>
      </c>
      <c r="N145" s="293">
        <v>2</v>
      </c>
      <c r="O145" s="293">
        <v>2</v>
      </c>
      <c r="P145" s="262">
        <v>0</v>
      </c>
      <c r="Q145" s="263" t="s">
        <v>1371</v>
      </c>
      <c r="R145" s="308"/>
    </row>
    <row r="146" spans="1:18" s="283" customFormat="1" ht="37.5" x14ac:dyDescent="0.3">
      <c r="A146" s="262">
        <v>4</v>
      </c>
      <c r="B146" s="571"/>
      <c r="C146" s="294" t="s">
        <v>762</v>
      </c>
      <c r="D146" s="293">
        <v>2</v>
      </c>
      <c r="E146" s="567"/>
      <c r="F146" s="568"/>
      <c r="G146" s="570"/>
      <c r="H146" s="569"/>
      <c r="I146" s="293">
        <v>2</v>
      </c>
      <c r="J146" s="262" t="s">
        <v>876</v>
      </c>
      <c r="K146" s="263" t="s">
        <v>221</v>
      </c>
      <c r="L146" s="360" t="s">
        <v>2167</v>
      </c>
      <c r="M146" s="267" t="s">
        <v>873</v>
      </c>
      <c r="N146" s="293">
        <v>2</v>
      </c>
      <c r="O146" s="293">
        <v>2</v>
      </c>
      <c r="P146" s="262">
        <v>0</v>
      </c>
      <c r="Q146" s="263" t="s">
        <v>1371</v>
      </c>
      <c r="R146" s="308"/>
    </row>
    <row r="147" spans="1:18" s="295" customFormat="1" ht="56.25" x14ac:dyDescent="0.25">
      <c r="A147" s="262">
        <v>5</v>
      </c>
      <c r="B147" s="282"/>
      <c r="C147" s="259" t="s">
        <v>760</v>
      </c>
      <c r="D147" s="259">
        <v>1</v>
      </c>
      <c r="E147" s="263" t="s">
        <v>1312</v>
      </c>
      <c r="F147" s="265" t="s">
        <v>221</v>
      </c>
      <c r="G147" s="263" t="s">
        <v>221</v>
      </c>
      <c r="H147" s="266" t="s">
        <v>221</v>
      </c>
      <c r="I147" s="259">
        <v>1</v>
      </c>
      <c r="J147" s="35" t="s">
        <v>1004</v>
      </c>
      <c r="K147" s="263" t="s">
        <v>221</v>
      </c>
      <c r="L147" s="362" t="s">
        <v>2164</v>
      </c>
      <c r="M147" s="259" t="s">
        <v>873</v>
      </c>
      <c r="N147" s="259">
        <v>1</v>
      </c>
      <c r="O147" s="259">
        <v>1</v>
      </c>
      <c r="P147" s="35">
        <v>0</v>
      </c>
      <c r="Q147" s="35" t="s">
        <v>1313</v>
      </c>
      <c r="R147" s="34"/>
    </row>
    <row r="148" spans="1:18" s="283" customFormat="1" ht="56.25" x14ac:dyDescent="0.3">
      <c r="A148" s="262">
        <v>6</v>
      </c>
      <c r="B148" s="264"/>
      <c r="C148" s="293" t="s">
        <v>766</v>
      </c>
      <c r="D148" s="293">
        <v>3</v>
      </c>
      <c r="E148" s="263" t="s">
        <v>1256</v>
      </c>
      <c r="F148" s="265" t="s">
        <v>1255</v>
      </c>
      <c r="G148" s="263" t="s">
        <v>1257</v>
      </c>
      <c r="H148" s="266">
        <v>19200</v>
      </c>
      <c r="I148" s="293">
        <v>3</v>
      </c>
      <c r="J148" s="262" t="s">
        <v>1004</v>
      </c>
      <c r="K148" s="263" t="s">
        <v>221</v>
      </c>
      <c r="L148" s="360" t="s">
        <v>2148</v>
      </c>
      <c r="M148" s="267" t="s">
        <v>873</v>
      </c>
      <c r="N148" s="293">
        <v>3</v>
      </c>
      <c r="O148" s="293">
        <v>3</v>
      </c>
      <c r="P148" s="262">
        <v>0</v>
      </c>
      <c r="Q148" s="263" t="s">
        <v>1371</v>
      </c>
      <c r="R148" s="308"/>
    </row>
    <row r="149" spans="1:18" s="283" customFormat="1" ht="56.25" x14ac:dyDescent="0.25">
      <c r="A149" s="262">
        <v>7</v>
      </c>
      <c r="B149" s="264"/>
      <c r="C149" s="293" t="s">
        <v>1267</v>
      </c>
      <c r="D149" s="293">
        <v>50</v>
      </c>
      <c r="E149" s="263" t="s">
        <v>1268</v>
      </c>
      <c r="F149" s="265" t="s">
        <v>1269</v>
      </c>
      <c r="G149" s="263" t="s">
        <v>1270</v>
      </c>
      <c r="H149" s="266">
        <v>264375</v>
      </c>
      <c r="I149" s="293">
        <v>50</v>
      </c>
      <c r="J149" s="262" t="s">
        <v>1004</v>
      </c>
      <c r="K149" s="263" t="s">
        <v>221</v>
      </c>
      <c r="L149" s="363" t="s">
        <v>2149</v>
      </c>
      <c r="M149" s="267" t="s">
        <v>873</v>
      </c>
      <c r="N149" s="293">
        <v>50</v>
      </c>
      <c r="O149" s="293">
        <v>50</v>
      </c>
      <c r="P149" s="262">
        <v>0</v>
      </c>
      <c r="Q149" s="263" t="s">
        <v>1371</v>
      </c>
      <c r="R149" s="308"/>
    </row>
    <row r="150" spans="1:18" s="283" customFormat="1" ht="56.25" x14ac:dyDescent="0.3">
      <c r="A150" s="262">
        <v>8</v>
      </c>
      <c r="B150" s="264"/>
      <c r="C150" s="293" t="s">
        <v>1267</v>
      </c>
      <c r="D150" s="293">
        <v>31</v>
      </c>
      <c r="E150" s="263" t="s">
        <v>1271</v>
      </c>
      <c r="F150" s="265" t="s">
        <v>1269</v>
      </c>
      <c r="G150" s="263" t="s">
        <v>1272</v>
      </c>
      <c r="H150" s="266">
        <v>164500</v>
      </c>
      <c r="I150" s="293">
        <v>31</v>
      </c>
      <c r="J150" s="262" t="s">
        <v>1004</v>
      </c>
      <c r="K150" s="263" t="s">
        <v>221</v>
      </c>
      <c r="L150" s="360" t="s">
        <v>2150</v>
      </c>
      <c r="M150" s="267" t="s">
        <v>873</v>
      </c>
      <c r="N150" s="293">
        <v>31</v>
      </c>
      <c r="O150" s="293">
        <v>31</v>
      </c>
      <c r="P150" s="262">
        <v>0</v>
      </c>
      <c r="Q150" s="263" t="s">
        <v>1371</v>
      </c>
      <c r="R150" s="308"/>
    </row>
    <row r="151" spans="1:18" s="283" customFormat="1" ht="56.25" x14ac:dyDescent="0.25">
      <c r="A151" s="262">
        <v>9</v>
      </c>
      <c r="B151" s="264"/>
      <c r="C151" s="293" t="s">
        <v>767</v>
      </c>
      <c r="D151" s="293">
        <v>12</v>
      </c>
      <c r="E151" s="263" t="s">
        <v>1264</v>
      </c>
      <c r="F151" s="265" t="s">
        <v>1265</v>
      </c>
      <c r="G151" s="263" t="s">
        <v>1363</v>
      </c>
      <c r="H151" s="266">
        <v>45600</v>
      </c>
      <c r="I151" s="293">
        <v>12</v>
      </c>
      <c r="J151" s="262" t="s">
        <v>1004</v>
      </c>
      <c r="K151" s="263" t="s">
        <v>221</v>
      </c>
      <c r="L151" s="363" t="s">
        <v>2151</v>
      </c>
      <c r="M151" s="267" t="s">
        <v>873</v>
      </c>
      <c r="N151" s="293">
        <v>12</v>
      </c>
      <c r="O151" s="293">
        <v>12</v>
      </c>
      <c r="P151" s="262">
        <v>0</v>
      </c>
      <c r="Q151" s="263" t="s">
        <v>1371</v>
      </c>
      <c r="R151" s="308"/>
    </row>
    <row r="152" spans="1:18" s="283" customFormat="1" x14ac:dyDescent="0.3">
      <c r="A152" s="262">
        <v>10</v>
      </c>
      <c r="B152" s="571" t="s">
        <v>1182</v>
      </c>
      <c r="C152" s="294" t="s">
        <v>910</v>
      </c>
      <c r="D152" s="293">
        <v>6</v>
      </c>
      <c r="E152" s="567" t="s">
        <v>1184</v>
      </c>
      <c r="F152" s="568" t="s">
        <v>1185</v>
      </c>
      <c r="G152" s="263" t="s">
        <v>221</v>
      </c>
      <c r="H152" s="296">
        <v>17700</v>
      </c>
      <c r="I152" s="293">
        <v>6</v>
      </c>
      <c r="J152" s="262" t="s">
        <v>1004</v>
      </c>
      <c r="K152" s="263" t="s">
        <v>221</v>
      </c>
      <c r="L152" s="359" t="s">
        <v>2137</v>
      </c>
      <c r="M152" s="267" t="s">
        <v>873</v>
      </c>
      <c r="N152" s="293">
        <v>6</v>
      </c>
      <c r="O152" s="293">
        <v>6</v>
      </c>
      <c r="P152" s="262">
        <v>0</v>
      </c>
      <c r="Q152" s="263" t="s">
        <v>1371</v>
      </c>
      <c r="R152" s="308"/>
    </row>
    <row r="153" spans="1:18" s="283" customFormat="1" x14ac:dyDescent="0.3">
      <c r="A153" s="262">
        <v>11</v>
      </c>
      <c r="B153" s="571"/>
      <c r="C153" s="294" t="s">
        <v>1183</v>
      </c>
      <c r="D153" s="293">
        <v>2</v>
      </c>
      <c r="E153" s="567"/>
      <c r="F153" s="568"/>
      <c r="G153" s="263" t="s">
        <v>221</v>
      </c>
      <c r="H153" s="296">
        <v>5980</v>
      </c>
      <c r="I153" s="293">
        <v>2</v>
      </c>
      <c r="J153" s="262" t="s">
        <v>1004</v>
      </c>
      <c r="K153" s="279">
        <v>40295929</v>
      </c>
      <c r="L153" s="359" t="s">
        <v>2137</v>
      </c>
      <c r="M153" s="267" t="s">
        <v>873</v>
      </c>
      <c r="N153" s="293">
        <v>2</v>
      </c>
      <c r="O153" s="293">
        <v>2</v>
      </c>
      <c r="P153" s="262">
        <v>0</v>
      </c>
      <c r="Q153" s="263" t="s">
        <v>1371</v>
      </c>
      <c r="R153" s="308"/>
    </row>
    <row r="154" spans="1:18" s="283" customFormat="1" ht="56.25" x14ac:dyDescent="0.25">
      <c r="A154" s="262">
        <v>12</v>
      </c>
      <c r="B154" s="297" t="s">
        <v>1189</v>
      </c>
      <c r="C154" s="298" t="s">
        <v>1168</v>
      </c>
      <c r="D154" s="293">
        <v>15</v>
      </c>
      <c r="E154" s="293" t="s">
        <v>1169</v>
      </c>
      <c r="F154" s="291" t="s">
        <v>1170</v>
      </c>
      <c r="G154" s="263" t="s">
        <v>221</v>
      </c>
      <c r="H154" s="296">
        <v>161250</v>
      </c>
      <c r="I154" s="293">
        <v>15</v>
      </c>
      <c r="J154" s="262" t="s">
        <v>1004</v>
      </c>
      <c r="K154" s="263" t="s">
        <v>221</v>
      </c>
      <c r="L154" s="311" t="s">
        <v>2136</v>
      </c>
      <c r="M154" s="267" t="s">
        <v>873</v>
      </c>
      <c r="N154" s="293">
        <v>15</v>
      </c>
      <c r="O154" s="293">
        <v>15</v>
      </c>
      <c r="P154" s="262">
        <v>0</v>
      </c>
      <c r="Q154" s="263" t="s">
        <v>1371</v>
      </c>
      <c r="R154" s="308"/>
    </row>
    <row r="155" spans="1:18" s="283" customFormat="1" ht="37.5" x14ac:dyDescent="0.25">
      <c r="A155" s="262">
        <v>13</v>
      </c>
      <c r="B155" s="264"/>
      <c r="C155" s="293" t="s">
        <v>788</v>
      </c>
      <c r="D155" s="293">
        <v>1</v>
      </c>
      <c r="E155" s="293" t="s">
        <v>1276</v>
      </c>
      <c r="F155" s="265" t="s">
        <v>1277</v>
      </c>
      <c r="G155" s="263" t="s">
        <v>1278</v>
      </c>
      <c r="H155" s="266">
        <v>19702</v>
      </c>
      <c r="I155" s="293">
        <v>1</v>
      </c>
      <c r="J155" s="262" t="s">
        <v>1004</v>
      </c>
      <c r="K155" s="263" t="s">
        <v>221</v>
      </c>
      <c r="L155" s="362" t="s">
        <v>1911</v>
      </c>
      <c r="M155" s="267" t="s">
        <v>873</v>
      </c>
      <c r="N155" s="293">
        <v>1</v>
      </c>
      <c r="O155" s="293">
        <v>1</v>
      </c>
      <c r="P155" s="262">
        <v>0</v>
      </c>
      <c r="Q155" s="263" t="s">
        <v>1371</v>
      </c>
      <c r="R155" s="308"/>
    </row>
    <row r="156" spans="1:18" s="283" customFormat="1" ht="37.5" x14ac:dyDescent="0.25">
      <c r="A156" s="262">
        <v>14</v>
      </c>
      <c r="B156" s="264"/>
      <c r="C156" s="259" t="s">
        <v>778</v>
      </c>
      <c r="D156" s="259">
        <v>2</v>
      </c>
      <c r="E156" s="259" t="s">
        <v>1005</v>
      </c>
      <c r="F156" s="265" t="s">
        <v>221</v>
      </c>
      <c r="G156" s="263" t="s">
        <v>221</v>
      </c>
      <c r="H156" s="299">
        <v>8967.86</v>
      </c>
      <c r="I156" s="259">
        <v>2</v>
      </c>
      <c r="J156" s="35" t="s">
        <v>1004</v>
      </c>
      <c r="K156" s="263" t="s">
        <v>221</v>
      </c>
      <c r="L156" s="311" t="s">
        <v>2169</v>
      </c>
      <c r="M156" s="259" t="s">
        <v>873</v>
      </c>
      <c r="N156" s="259">
        <v>2</v>
      </c>
      <c r="O156" s="259">
        <v>2</v>
      </c>
      <c r="P156" s="262">
        <v>0</v>
      </c>
      <c r="Q156" s="263" t="s">
        <v>1371</v>
      </c>
      <c r="R156" s="308"/>
    </row>
    <row r="157" spans="1:18" s="283" customFormat="1" x14ac:dyDescent="0.3">
      <c r="A157" s="262">
        <v>15</v>
      </c>
      <c r="B157" s="264"/>
      <c r="C157" s="232" t="s">
        <v>2214</v>
      </c>
      <c r="D157" s="259">
        <v>1</v>
      </c>
      <c r="E157" s="259" t="s">
        <v>1006</v>
      </c>
      <c r="F157" s="265" t="s">
        <v>221</v>
      </c>
      <c r="G157" s="263" t="s">
        <v>221</v>
      </c>
      <c r="H157" s="299">
        <v>218065</v>
      </c>
      <c r="I157" s="259">
        <v>1</v>
      </c>
      <c r="J157" s="35" t="s">
        <v>1004</v>
      </c>
      <c r="K157" s="263" t="s">
        <v>221</v>
      </c>
      <c r="L157" s="344" t="s">
        <v>2134</v>
      </c>
      <c r="M157" s="259" t="s">
        <v>873</v>
      </c>
      <c r="N157" s="259">
        <v>1</v>
      </c>
      <c r="O157" s="259">
        <v>1</v>
      </c>
      <c r="P157" s="262">
        <v>0</v>
      </c>
      <c r="Q157" s="263" t="s">
        <v>1371</v>
      </c>
      <c r="R157" s="308"/>
    </row>
    <row r="158" spans="1:18" s="283" customFormat="1" x14ac:dyDescent="0.3">
      <c r="A158" s="262">
        <v>16</v>
      </c>
      <c r="B158" s="264"/>
      <c r="C158" s="232" t="s">
        <v>2214</v>
      </c>
      <c r="D158" s="259">
        <v>1</v>
      </c>
      <c r="E158" s="259" t="s">
        <v>1007</v>
      </c>
      <c r="F158" s="265" t="s">
        <v>221</v>
      </c>
      <c r="G158" s="263" t="s">
        <v>221</v>
      </c>
      <c r="H158" s="299">
        <v>248641</v>
      </c>
      <c r="I158" s="259">
        <v>1</v>
      </c>
      <c r="J158" s="35" t="s">
        <v>1004</v>
      </c>
      <c r="K158" s="263" t="s">
        <v>221</v>
      </c>
      <c r="L158" s="344" t="s">
        <v>2215</v>
      </c>
      <c r="M158" s="259" t="s">
        <v>873</v>
      </c>
      <c r="N158" s="259">
        <v>1</v>
      </c>
      <c r="O158" s="259">
        <v>1</v>
      </c>
      <c r="P158" s="262">
        <v>0</v>
      </c>
      <c r="Q158" s="263" t="s">
        <v>1371</v>
      </c>
      <c r="R158" s="308"/>
    </row>
    <row r="159" spans="1:18" s="283" customFormat="1" ht="56.25" x14ac:dyDescent="0.25">
      <c r="A159" s="262">
        <v>17</v>
      </c>
      <c r="B159" s="264"/>
      <c r="C159" s="259" t="s">
        <v>769</v>
      </c>
      <c r="D159" s="259">
        <v>3</v>
      </c>
      <c r="E159" s="563" t="s">
        <v>1293</v>
      </c>
      <c r="F159" s="564" t="s">
        <v>1294</v>
      </c>
      <c r="G159" s="263" t="s">
        <v>221</v>
      </c>
      <c r="H159" s="565">
        <v>14910</v>
      </c>
      <c r="I159" s="259">
        <v>3</v>
      </c>
      <c r="J159" s="35" t="s">
        <v>1004</v>
      </c>
      <c r="K159" s="263" t="s">
        <v>221</v>
      </c>
      <c r="L159" s="311" t="s">
        <v>2133</v>
      </c>
      <c r="M159" s="259" t="s">
        <v>873</v>
      </c>
      <c r="N159" s="259">
        <v>3</v>
      </c>
      <c r="O159" s="259">
        <v>3</v>
      </c>
      <c r="P159" s="262">
        <v>0</v>
      </c>
      <c r="Q159" s="263" t="s">
        <v>1371</v>
      </c>
      <c r="R159" s="308"/>
    </row>
    <row r="160" spans="1:18" s="283" customFormat="1" x14ac:dyDescent="0.25">
      <c r="A160" s="262">
        <v>18</v>
      </c>
      <c r="B160" s="264"/>
      <c r="C160" s="293" t="s">
        <v>770</v>
      </c>
      <c r="D160" s="293">
        <v>4</v>
      </c>
      <c r="E160" s="563"/>
      <c r="F160" s="564"/>
      <c r="G160" s="263" t="s">
        <v>221</v>
      </c>
      <c r="H160" s="565"/>
      <c r="I160" s="293">
        <v>4</v>
      </c>
      <c r="J160" s="262" t="s">
        <v>1004</v>
      </c>
      <c r="K160" s="263" t="s">
        <v>221</v>
      </c>
      <c r="L160" s="361" t="s">
        <v>2134</v>
      </c>
      <c r="M160" s="267" t="s">
        <v>873</v>
      </c>
      <c r="N160" s="293">
        <v>4</v>
      </c>
      <c r="O160" s="293">
        <v>4</v>
      </c>
      <c r="P160" s="262">
        <v>0</v>
      </c>
      <c r="Q160" s="263" t="s">
        <v>1371</v>
      </c>
      <c r="R160" s="308"/>
    </row>
    <row r="161" spans="1:18" s="283" customFormat="1" ht="56.25" x14ac:dyDescent="0.25">
      <c r="A161" s="262">
        <v>19</v>
      </c>
      <c r="B161" s="264"/>
      <c r="C161" s="293" t="s">
        <v>771</v>
      </c>
      <c r="D161" s="293">
        <v>2</v>
      </c>
      <c r="E161" s="563"/>
      <c r="F161" s="564"/>
      <c r="G161" s="263" t="s">
        <v>221</v>
      </c>
      <c r="H161" s="565"/>
      <c r="I161" s="293">
        <v>2</v>
      </c>
      <c r="J161" s="262" t="s">
        <v>1004</v>
      </c>
      <c r="K161" s="263" t="s">
        <v>221</v>
      </c>
      <c r="L161" s="363" t="s">
        <v>2135</v>
      </c>
      <c r="M161" s="267" t="s">
        <v>873</v>
      </c>
      <c r="N161" s="293">
        <v>2</v>
      </c>
      <c r="O161" s="293">
        <v>2</v>
      </c>
      <c r="P161" s="262">
        <v>0</v>
      </c>
      <c r="Q161" s="263" t="s">
        <v>1371</v>
      </c>
      <c r="R161" s="308"/>
    </row>
    <row r="162" spans="1:18" s="283" customFormat="1" ht="75" x14ac:dyDescent="0.3">
      <c r="A162" s="262">
        <v>20</v>
      </c>
      <c r="B162" s="264"/>
      <c r="C162" s="236" t="s">
        <v>2216</v>
      </c>
      <c r="D162" s="293">
        <v>4</v>
      </c>
      <c r="E162" s="263" t="s">
        <v>1284</v>
      </c>
      <c r="F162" s="265" t="s">
        <v>221</v>
      </c>
      <c r="G162" s="263" t="s">
        <v>221</v>
      </c>
      <c r="H162" s="266">
        <v>25763.84</v>
      </c>
      <c r="I162" s="293">
        <v>4</v>
      </c>
      <c r="J162" s="262" t="s">
        <v>1004</v>
      </c>
      <c r="K162" s="263" t="s">
        <v>221</v>
      </c>
      <c r="L162" s="365" t="s">
        <v>2217</v>
      </c>
      <c r="M162" s="267" t="s">
        <v>873</v>
      </c>
      <c r="N162" s="293">
        <v>4</v>
      </c>
      <c r="O162" s="293">
        <v>4</v>
      </c>
      <c r="P162" s="262">
        <v>0</v>
      </c>
      <c r="Q162" s="263" t="s">
        <v>1371</v>
      </c>
      <c r="R162" s="308"/>
    </row>
    <row r="163" spans="1:18" s="283" customFormat="1" x14ac:dyDescent="0.25">
      <c r="A163" s="262">
        <v>21</v>
      </c>
      <c r="B163" s="264"/>
      <c r="C163" s="293" t="s">
        <v>784</v>
      </c>
      <c r="D163" s="293">
        <v>1</v>
      </c>
      <c r="E163" s="263" t="s">
        <v>221</v>
      </c>
      <c r="F163" s="265" t="s">
        <v>1304</v>
      </c>
      <c r="G163" s="263" t="s">
        <v>221</v>
      </c>
      <c r="H163" s="296">
        <v>5000</v>
      </c>
      <c r="I163" s="293">
        <v>1</v>
      </c>
      <c r="J163" s="262" t="s">
        <v>1004</v>
      </c>
      <c r="K163" s="263" t="s">
        <v>221</v>
      </c>
      <c r="L163" s="361" t="s">
        <v>2152</v>
      </c>
      <c r="M163" s="267" t="s">
        <v>873</v>
      </c>
      <c r="N163" s="293">
        <v>1</v>
      </c>
      <c r="O163" s="293">
        <v>1</v>
      </c>
      <c r="P163" s="262">
        <v>0</v>
      </c>
      <c r="Q163" s="263" t="s">
        <v>1371</v>
      </c>
      <c r="R163" s="308"/>
    </row>
    <row r="164" spans="1:18" s="283" customFormat="1" ht="37.5" x14ac:dyDescent="0.25">
      <c r="A164" s="262">
        <v>22</v>
      </c>
      <c r="B164" s="264"/>
      <c r="C164" s="293" t="s">
        <v>783</v>
      </c>
      <c r="D164" s="293">
        <v>3</v>
      </c>
      <c r="E164" s="263" t="s">
        <v>1346</v>
      </c>
      <c r="F164" s="265" t="s">
        <v>1262</v>
      </c>
      <c r="G164" s="263" t="s">
        <v>1347</v>
      </c>
      <c r="H164" s="266">
        <v>7100</v>
      </c>
      <c r="I164" s="293">
        <v>3</v>
      </c>
      <c r="J164" s="262" t="s">
        <v>1004</v>
      </c>
      <c r="K164" s="263" t="s">
        <v>221</v>
      </c>
      <c r="L164" s="363" t="s">
        <v>2132</v>
      </c>
      <c r="M164" s="267" t="s">
        <v>873</v>
      </c>
      <c r="N164" s="293">
        <v>3</v>
      </c>
      <c r="O164" s="293">
        <v>3</v>
      </c>
      <c r="P164" s="262">
        <v>0</v>
      </c>
      <c r="Q164" s="263" t="s">
        <v>1371</v>
      </c>
      <c r="R164" s="308"/>
    </row>
    <row r="165" spans="1:18" s="283" customFormat="1" ht="37.5" x14ac:dyDescent="0.25">
      <c r="A165" s="262">
        <v>23</v>
      </c>
      <c r="B165" s="264"/>
      <c r="C165" s="293" t="s">
        <v>768</v>
      </c>
      <c r="D165" s="293">
        <v>1</v>
      </c>
      <c r="E165" s="263" t="s">
        <v>221</v>
      </c>
      <c r="F165" s="265" t="s">
        <v>1259</v>
      </c>
      <c r="G165" s="263" t="s">
        <v>1260</v>
      </c>
      <c r="H165" s="266">
        <v>6000</v>
      </c>
      <c r="I165" s="293">
        <v>1</v>
      </c>
      <c r="J165" s="262" t="s">
        <v>1004</v>
      </c>
      <c r="K165" s="263" t="s">
        <v>221</v>
      </c>
      <c r="L165" s="362" t="s">
        <v>2128</v>
      </c>
      <c r="M165" s="267" t="s">
        <v>873</v>
      </c>
      <c r="N165" s="293">
        <v>1</v>
      </c>
      <c r="O165" s="293">
        <v>1</v>
      </c>
      <c r="P165" s="262">
        <v>0</v>
      </c>
      <c r="Q165" s="263" t="s">
        <v>1371</v>
      </c>
      <c r="R165" s="308"/>
    </row>
    <row r="166" spans="1:18" s="283" customFormat="1" ht="37.5" x14ac:dyDescent="0.25">
      <c r="A166" s="262">
        <v>24</v>
      </c>
      <c r="B166" s="264"/>
      <c r="C166" s="293" t="s">
        <v>764</v>
      </c>
      <c r="D166" s="293">
        <v>2</v>
      </c>
      <c r="E166" s="263" t="s">
        <v>1348</v>
      </c>
      <c r="F166" s="265" t="s">
        <v>1349</v>
      </c>
      <c r="G166" s="263" t="s">
        <v>1350</v>
      </c>
      <c r="H166" s="266">
        <v>15190</v>
      </c>
      <c r="I166" s="293">
        <v>2</v>
      </c>
      <c r="J166" s="262" t="s">
        <v>1004</v>
      </c>
      <c r="K166" s="263" t="s">
        <v>221</v>
      </c>
      <c r="L166" s="361" t="s">
        <v>2039</v>
      </c>
      <c r="M166" s="267" t="s">
        <v>873</v>
      </c>
      <c r="N166" s="293">
        <v>2</v>
      </c>
      <c r="O166" s="293">
        <v>2</v>
      </c>
      <c r="P166" s="262">
        <v>0</v>
      </c>
      <c r="Q166" s="263" t="s">
        <v>1371</v>
      </c>
      <c r="R166" s="308"/>
    </row>
    <row r="167" spans="1:18" s="283" customFormat="1" ht="75" x14ac:dyDescent="0.25">
      <c r="A167" s="262">
        <v>25</v>
      </c>
      <c r="B167" s="264"/>
      <c r="C167" s="293" t="s">
        <v>776</v>
      </c>
      <c r="D167" s="293">
        <v>30</v>
      </c>
      <c r="E167" s="263" t="s">
        <v>1286</v>
      </c>
      <c r="F167" s="265" t="s">
        <v>1287</v>
      </c>
      <c r="G167" s="263" t="s">
        <v>221</v>
      </c>
      <c r="H167" s="565">
        <v>1370555</v>
      </c>
      <c r="I167" s="293">
        <v>30</v>
      </c>
      <c r="J167" s="262" t="s">
        <v>1004</v>
      </c>
      <c r="K167" s="263" t="s">
        <v>221</v>
      </c>
      <c r="L167" s="311" t="s">
        <v>1990</v>
      </c>
      <c r="M167" s="267" t="s">
        <v>873</v>
      </c>
      <c r="N167" s="293">
        <v>30</v>
      </c>
      <c r="O167" s="293">
        <v>30</v>
      </c>
      <c r="P167" s="262">
        <v>0</v>
      </c>
      <c r="Q167" s="263" t="s">
        <v>1371</v>
      </c>
      <c r="R167" s="308"/>
    </row>
    <row r="168" spans="1:18" s="283" customFormat="1" ht="56.25" x14ac:dyDescent="0.25">
      <c r="A168" s="262">
        <v>26</v>
      </c>
      <c r="B168" s="264"/>
      <c r="C168" s="293" t="s">
        <v>776</v>
      </c>
      <c r="D168" s="293">
        <v>29</v>
      </c>
      <c r="E168" s="263" t="s">
        <v>1288</v>
      </c>
      <c r="F168" s="265" t="s">
        <v>1290</v>
      </c>
      <c r="G168" s="263" t="s">
        <v>221</v>
      </c>
      <c r="H168" s="565"/>
      <c r="I168" s="293">
        <v>29</v>
      </c>
      <c r="J168" s="262" t="s">
        <v>876</v>
      </c>
      <c r="K168" s="263" t="s">
        <v>221</v>
      </c>
      <c r="L168" s="311" t="s">
        <v>2160</v>
      </c>
      <c r="M168" s="267" t="s">
        <v>873</v>
      </c>
      <c r="N168" s="293">
        <v>29</v>
      </c>
      <c r="O168" s="293">
        <v>29</v>
      </c>
      <c r="P168" s="262">
        <v>0</v>
      </c>
      <c r="Q168" s="263" t="s">
        <v>1371</v>
      </c>
      <c r="R168" s="308"/>
    </row>
    <row r="169" spans="1:18" s="283" customFormat="1" ht="75" x14ac:dyDescent="0.3">
      <c r="A169" s="262">
        <v>27</v>
      </c>
      <c r="B169" s="264"/>
      <c r="C169" s="293" t="s">
        <v>776</v>
      </c>
      <c r="D169" s="293">
        <v>42</v>
      </c>
      <c r="E169" s="263" t="s">
        <v>1288</v>
      </c>
      <c r="F169" s="265" t="s">
        <v>1290</v>
      </c>
      <c r="G169" s="263" t="s">
        <v>221</v>
      </c>
      <c r="H169" s="565"/>
      <c r="I169" s="293">
        <v>42</v>
      </c>
      <c r="J169" s="262" t="s">
        <v>1004</v>
      </c>
      <c r="K169" s="263" t="s">
        <v>221</v>
      </c>
      <c r="L169" s="360" t="s">
        <v>2226</v>
      </c>
      <c r="M169" s="267" t="s">
        <v>873</v>
      </c>
      <c r="N169" s="293">
        <v>42</v>
      </c>
      <c r="O169" s="293">
        <v>42</v>
      </c>
      <c r="P169" s="262">
        <v>0</v>
      </c>
      <c r="Q169" s="263" t="s">
        <v>1371</v>
      </c>
      <c r="R169" s="308"/>
    </row>
    <row r="170" spans="1:18" s="283" customFormat="1" ht="104.25" customHeight="1" x14ac:dyDescent="0.25">
      <c r="A170" s="268">
        <v>28</v>
      </c>
      <c r="B170" s="574" t="s">
        <v>1161</v>
      </c>
      <c r="C170" s="267" t="s">
        <v>1159</v>
      </c>
      <c r="D170" s="267">
        <v>1</v>
      </c>
      <c r="E170" s="268" t="s">
        <v>898</v>
      </c>
      <c r="F170" s="269" t="s">
        <v>1158</v>
      </c>
      <c r="G170" s="268" t="s">
        <v>221</v>
      </c>
      <c r="H170" s="270">
        <v>25000</v>
      </c>
      <c r="I170" s="267">
        <v>1</v>
      </c>
      <c r="J170" s="268" t="s">
        <v>1004</v>
      </c>
      <c r="K170" s="268" t="s">
        <v>221</v>
      </c>
      <c r="L170" s="271" t="s">
        <v>1991</v>
      </c>
      <c r="M170" s="267" t="s">
        <v>873</v>
      </c>
      <c r="N170" s="267">
        <v>1</v>
      </c>
      <c r="O170" s="267">
        <v>1</v>
      </c>
      <c r="P170" s="268">
        <v>0</v>
      </c>
      <c r="Q170" s="271" t="s">
        <v>1371</v>
      </c>
      <c r="R170" s="322"/>
    </row>
    <row r="171" spans="1:18" s="283" customFormat="1" x14ac:dyDescent="0.25">
      <c r="A171" s="268">
        <v>29</v>
      </c>
      <c r="B171" s="574"/>
      <c r="C171" s="267" t="s">
        <v>1160</v>
      </c>
      <c r="D171" s="267">
        <v>1</v>
      </c>
      <c r="E171" s="268" t="s">
        <v>221</v>
      </c>
      <c r="F171" s="269" t="s">
        <v>221</v>
      </c>
      <c r="G171" s="268" t="s">
        <v>221</v>
      </c>
      <c r="H171" s="270">
        <v>10593</v>
      </c>
      <c r="I171" s="267">
        <v>1</v>
      </c>
      <c r="J171" s="268" t="s">
        <v>852</v>
      </c>
      <c r="K171" s="268" t="s">
        <v>221</v>
      </c>
      <c r="L171" s="271" t="s">
        <v>1992</v>
      </c>
      <c r="M171" s="267" t="s">
        <v>873</v>
      </c>
      <c r="N171" s="267">
        <v>1</v>
      </c>
      <c r="O171" s="267">
        <v>1</v>
      </c>
      <c r="P171" s="268">
        <v>0</v>
      </c>
      <c r="Q171" s="271" t="s">
        <v>1371</v>
      </c>
      <c r="R171" s="322"/>
    </row>
    <row r="172" spans="1:18" s="283" customFormat="1" ht="37.5" x14ac:dyDescent="0.25">
      <c r="A172" s="268">
        <v>30</v>
      </c>
      <c r="B172" s="288"/>
      <c r="C172" s="267" t="s">
        <v>761</v>
      </c>
      <c r="D172" s="268">
        <v>2</v>
      </c>
      <c r="E172" s="271" t="s">
        <v>1351</v>
      </c>
      <c r="F172" s="272" t="s">
        <v>1352</v>
      </c>
      <c r="G172" s="271" t="s">
        <v>1353</v>
      </c>
      <c r="H172" s="273">
        <v>17400</v>
      </c>
      <c r="I172" s="268">
        <v>2</v>
      </c>
      <c r="J172" s="268" t="s">
        <v>1004</v>
      </c>
      <c r="K172" s="271" t="s">
        <v>221</v>
      </c>
      <c r="L172" s="271" t="s">
        <v>1989</v>
      </c>
      <c r="M172" s="268" t="s">
        <v>1016</v>
      </c>
      <c r="N172" s="268">
        <v>2</v>
      </c>
      <c r="O172" s="268">
        <v>2</v>
      </c>
      <c r="P172" s="268">
        <v>0</v>
      </c>
      <c r="Q172" s="271" t="s">
        <v>1371</v>
      </c>
      <c r="R172" s="322"/>
    </row>
    <row r="173" spans="1:18" s="283" customFormat="1" ht="37.5" x14ac:dyDescent="0.25">
      <c r="A173" s="268">
        <v>31</v>
      </c>
      <c r="B173" s="288"/>
      <c r="C173" s="267" t="s">
        <v>906</v>
      </c>
      <c r="D173" s="268">
        <v>1</v>
      </c>
      <c r="E173" s="271" t="s">
        <v>221</v>
      </c>
      <c r="F173" s="272" t="s">
        <v>1252</v>
      </c>
      <c r="G173" s="271" t="s">
        <v>1345</v>
      </c>
      <c r="H173" s="273">
        <v>5432.5</v>
      </c>
      <c r="I173" s="268">
        <v>1</v>
      </c>
      <c r="J173" s="268" t="s">
        <v>1004</v>
      </c>
      <c r="K173" s="268" t="s">
        <v>221</v>
      </c>
      <c r="L173" s="271" t="s">
        <v>2127</v>
      </c>
      <c r="M173" s="268" t="s">
        <v>1013</v>
      </c>
      <c r="N173" s="268">
        <v>1</v>
      </c>
      <c r="O173" s="268">
        <v>1</v>
      </c>
      <c r="P173" s="268">
        <v>0</v>
      </c>
      <c r="Q173" s="271" t="s">
        <v>1371</v>
      </c>
      <c r="R173" s="322"/>
    </row>
    <row r="174" spans="1:18" s="283" customFormat="1" ht="56.25" x14ac:dyDescent="0.25">
      <c r="A174" s="268">
        <v>32</v>
      </c>
      <c r="B174" s="288" t="s">
        <v>910</v>
      </c>
      <c r="C174" s="267" t="s">
        <v>1412</v>
      </c>
      <c r="D174" s="268">
        <v>1</v>
      </c>
      <c r="E174" s="271" t="s">
        <v>1413</v>
      </c>
      <c r="F174" s="272" t="s">
        <v>1414</v>
      </c>
      <c r="G174" s="271" t="s">
        <v>1440</v>
      </c>
      <c r="H174" s="273">
        <v>73000</v>
      </c>
      <c r="I174" s="268">
        <v>1</v>
      </c>
      <c r="J174" s="268" t="s">
        <v>1004</v>
      </c>
      <c r="K174" s="268" t="s">
        <v>221</v>
      </c>
      <c r="L174" s="367" t="s">
        <v>2126</v>
      </c>
      <c r="M174" s="268" t="s">
        <v>1013</v>
      </c>
      <c r="N174" s="268">
        <v>1</v>
      </c>
      <c r="O174" s="268">
        <v>1</v>
      </c>
      <c r="P174" s="268">
        <v>0</v>
      </c>
      <c r="Q174" s="271" t="s">
        <v>1381</v>
      </c>
      <c r="R174" s="322"/>
    </row>
    <row r="175" spans="1:18" x14ac:dyDescent="0.25">
      <c r="D175" s="301">
        <f>SUM(D143:D174)</f>
        <v>258</v>
      </c>
      <c r="H175" s="303">
        <f>SUM(H143:H174)</f>
        <v>2890379.2</v>
      </c>
      <c r="I175" s="301">
        <f>SUM(I143:I174)</f>
        <v>258</v>
      </c>
      <c r="L175" s="306"/>
      <c r="R175" s="324">
        <v>258</v>
      </c>
    </row>
    <row r="176" spans="1:18" ht="21" x14ac:dyDescent="0.25">
      <c r="H176" s="304">
        <f>H175+H141+H56</f>
        <v>24403033.159999996</v>
      </c>
      <c r="R176" s="325">
        <f>SUM(R5:R175)</f>
        <v>2944</v>
      </c>
    </row>
  </sheetData>
  <mergeCells count="55">
    <mergeCell ref="A57:Q57"/>
    <mergeCell ref="B90:B93"/>
    <mergeCell ref="B94:B97"/>
    <mergeCell ref="O3:O4"/>
    <mergeCell ref="P3:P4"/>
    <mergeCell ref="Q3:Q4"/>
    <mergeCell ref="B23:B29"/>
    <mergeCell ref="H58:H59"/>
    <mergeCell ref="H63:H65"/>
    <mergeCell ref="E58:E89"/>
    <mergeCell ref="F58:F89"/>
    <mergeCell ref="G58:G89"/>
    <mergeCell ref="G90:G137"/>
    <mergeCell ref="B98:B101"/>
    <mergeCell ref="B102:B105"/>
    <mergeCell ref="B106:B109"/>
    <mergeCell ref="B170:B171"/>
    <mergeCell ref="C143:C144"/>
    <mergeCell ref="D143:D144"/>
    <mergeCell ref="A142:Q142"/>
    <mergeCell ref="A1:Q1"/>
    <mergeCell ref="A2:Q2"/>
    <mergeCell ref="G3:G4"/>
    <mergeCell ref="H3:H4"/>
    <mergeCell ref="I3:K3"/>
    <mergeCell ref="M3:M4"/>
    <mergeCell ref="N3:N4"/>
    <mergeCell ref="A3:A4"/>
    <mergeCell ref="C3:C4"/>
    <mergeCell ref="D3:D4"/>
    <mergeCell ref="E3:E4"/>
    <mergeCell ref="F3:F4"/>
    <mergeCell ref="B110:B113"/>
    <mergeCell ref="B114:B117"/>
    <mergeCell ref="B135:B137"/>
    <mergeCell ref="B118:B122"/>
    <mergeCell ref="B123:B124"/>
    <mergeCell ref="B128:B129"/>
    <mergeCell ref="B130:B132"/>
    <mergeCell ref="E159:E161"/>
    <mergeCell ref="F159:F161"/>
    <mergeCell ref="H159:H161"/>
    <mergeCell ref="H167:H169"/>
    <mergeCell ref="B46:B48"/>
    <mergeCell ref="E143:E146"/>
    <mergeCell ref="F143:F146"/>
    <mergeCell ref="H143:H146"/>
    <mergeCell ref="E90:E137"/>
    <mergeCell ref="B152:B153"/>
    <mergeCell ref="E152:E153"/>
    <mergeCell ref="F152:F153"/>
    <mergeCell ref="B143:B146"/>
    <mergeCell ref="G143:G146"/>
    <mergeCell ref="F90:F137"/>
    <mergeCell ref="H90:H13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4" fitToHeight="0" orientation="landscape" r:id="rId1"/>
  <rowBreaks count="4" manualBreakCount="4">
    <brk id="32" max="17" man="1"/>
    <brk id="56" max="16383" man="1"/>
    <brk id="99" max="17" man="1"/>
    <brk id="141" max="17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70" zoomScaleNormal="70" workbookViewId="0">
      <pane ySplit="3" topLeftCell="A4" activePane="bottomLeft" state="frozen"/>
      <selection activeCell="B16" sqref="B16"/>
      <selection pane="bottomLeft" activeCell="D13" sqref="D13"/>
    </sheetView>
  </sheetViews>
  <sheetFormatPr defaultRowHeight="18.75" x14ac:dyDescent="0.3"/>
  <cols>
    <col min="1" max="1" width="9.140625" style="90"/>
    <col min="2" max="2" width="38.28515625" style="90" customWidth="1"/>
    <col min="3" max="3" width="6.5703125" style="90" bestFit="1" customWidth="1"/>
    <col min="4" max="4" width="27.140625" style="90" customWidth="1"/>
    <col min="5" max="5" width="27.5703125" style="90" customWidth="1"/>
    <col min="6" max="6" width="25.140625" style="90" customWidth="1"/>
    <col min="7" max="7" width="18.5703125" style="185" bestFit="1" customWidth="1"/>
    <col min="8" max="8" width="7.28515625" style="49" bestFit="1" customWidth="1"/>
    <col min="9" max="9" width="19.5703125" style="90" customWidth="1"/>
    <col min="10" max="11" width="25" style="90" customWidth="1"/>
    <col min="12" max="12" width="22.140625" style="90" customWidth="1"/>
    <col min="13" max="13" width="9.140625" style="90"/>
    <col min="14" max="14" width="16.140625" style="90" customWidth="1"/>
    <col min="15" max="15" width="13" style="90" customWidth="1"/>
    <col min="16" max="16" width="20" style="90" customWidth="1"/>
    <col min="17" max="16384" width="9.140625" style="90"/>
  </cols>
  <sheetData>
    <row r="1" spans="1:16" ht="21" x14ac:dyDescent="0.35">
      <c r="A1" s="590" t="s">
        <v>1464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  <c r="O1" s="590"/>
      <c r="P1" s="590"/>
    </row>
    <row r="2" spans="1:16" ht="30" customHeight="1" x14ac:dyDescent="0.3">
      <c r="A2" s="591" t="s">
        <v>0</v>
      </c>
      <c r="B2" s="591" t="s">
        <v>1</v>
      </c>
      <c r="C2" s="591" t="s">
        <v>2</v>
      </c>
      <c r="D2" s="598" t="s">
        <v>10</v>
      </c>
      <c r="E2" s="591" t="s">
        <v>3</v>
      </c>
      <c r="F2" s="591" t="s">
        <v>4</v>
      </c>
      <c r="G2" s="593" t="s">
        <v>5</v>
      </c>
      <c r="H2" s="595" t="s">
        <v>9</v>
      </c>
      <c r="I2" s="596"/>
      <c r="J2" s="597"/>
      <c r="K2" s="210"/>
      <c r="L2" s="599" t="s">
        <v>1025</v>
      </c>
      <c r="M2" s="601" t="s">
        <v>6</v>
      </c>
      <c r="N2" s="601" t="s">
        <v>7</v>
      </c>
      <c r="O2" s="601" t="s">
        <v>8</v>
      </c>
      <c r="P2" s="601" t="s">
        <v>836</v>
      </c>
    </row>
    <row r="3" spans="1:16" ht="33.75" customHeight="1" x14ac:dyDescent="0.3">
      <c r="A3" s="592"/>
      <c r="B3" s="592"/>
      <c r="C3" s="592"/>
      <c r="D3" s="598"/>
      <c r="E3" s="592"/>
      <c r="F3" s="592"/>
      <c r="G3" s="594"/>
      <c r="H3" s="52" t="s">
        <v>11</v>
      </c>
      <c r="I3" s="52" t="s">
        <v>676</v>
      </c>
      <c r="J3" s="52" t="s">
        <v>12</v>
      </c>
      <c r="K3" s="211" t="s">
        <v>1915</v>
      </c>
      <c r="L3" s="600"/>
      <c r="M3" s="601"/>
      <c r="N3" s="601"/>
      <c r="O3" s="601"/>
      <c r="P3" s="601"/>
    </row>
    <row r="4" spans="1:16" ht="37.5" x14ac:dyDescent="0.3">
      <c r="A4" s="184">
        <v>1</v>
      </c>
      <c r="B4" s="89" t="s">
        <v>486</v>
      </c>
      <c r="C4" s="65">
        <v>1</v>
      </c>
      <c r="D4" s="89" t="s">
        <v>516</v>
      </c>
      <c r="E4" s="65" t="s">
        <v>487</v>
      </c>
      <c r="F4" s="65" t="s">
        <v>488</v>
      </c>
      <c r="G4" s="94">
        <v>498544</v>
      </c>
      <c r="H4" s="91">
        <v>1</v>
      </c>
      <c r="I4" s="83" t="s">
        <v>876</v>
      </c>
      <c r="J4" s="83" t="s">
        <v>221</v>
      </c>
      <c r="K4" s="330" t="s">
        <v>1904</v>
      </c>
      <c r="L4" s="83" t="s">
        <v>873</v>
      </c>
      <c r="M4" s="65">
        <v>1</v>
      </c>
      <c r="N4" s="65">
        <v>1</v>
      </c>
      <c r="O4" s="184">
        <v>0</v>
      </c>
      <c r="P4" s="63" t="s">
        <v>1371</v>
      </c>
    </row>
    <row r="5" spans="1:16" ht="37.5" x14ac:dyDescent="0.3">
      <c r="A5" s="184">
        <v>2</v>
      </c>
      <c r="B5" s="89" t="s">
        <v>489</v>
      </c>
      <c r="C5" s="65">
        <v>1</v>
      </c>
      <c r="D5" s="54" t="s">
        <v>490</v>
      </c>
      <c r="E5" s="65" t="s">
        <v>491</v>
      </c>
      <c r="F5" s="65" t="s">
        <v>492</v>
      </c>
      <c r="G5" s="114">
        <v>28098</v>
      </c>
      <c r="H5" s="92">
        <v>1</v>
      </c>
      <c r="I5" s="89" t="s">
        <v>876</v>
      </c>
      <c r="J5" s="255" t="s">
        <v>959</v>
      </c>
      <c r="K5" s="331" t="s">
        <v>1905</v>
      </c>
      <c r="L5" s="257" t="s">
        <v>873</v>
      </c>
      <c r="M5" s="65">
        <v>1</v>
      </c>
      <c r="N5" s="65">
        <v>1</v>
      </c>
      <c r="O5" s="184">
        <v>0</v>
      </c>
      <c r="P5" s="63" t="s">
        <v>1371</v>
      </c>
    </row>
    <row r="6" spans="1:16" x14ac:dyDescent="0.3">
      <c r="A6" s="184">
        <v>3</v>
      </c>
      <c r="B6" s="54" t="s">
        <v>493</v>
      </c>
      <c r="C6" s="65">
        <v>1</v>
      </c>
      <c r="D6" s="611">
        <v>2016</v>
      </c>
      <c r="E6" s="588" t="s">
        <v>102</v>
      </c>
      <c r="F6" s="588" t="s">
        <v>221</v>
      </c>
      <c r="G6" s="613">
        <v>270393</v>
      </c>
      <c r="H6" s="92">
        <v>1</v>
      </c>
      <c r="I6" s="89" t="s">
        <v>839</v>
      </c>
      <c r="J6" s="255" t="s">
        <v>2315</v>
      </c>
      <c r="K6" s="602" t="s">
        <v>1944</v>
      </c>
      <c r="L6" s="257" t="s">
        <v>873</v>
      </c>
      <c r="M6" s="65">
        <v>1</v>
      </c>
      <c r="N6" s="65">
        <v>1</v>
      </c>
      <c r="O6" s="184">
        <v>0</v>
      </c>
      <c r="P6" s="63" t="s">
        <v>1371</v>
      </c>
    </row>
    <row r="7" spans="1:16" ht="37.5" x14ac:dyDescent="0.3">
      <c r="A7" s="184">
        <v>4</v>
      </c>
      <c r="B7" s="84" t="s">
        <v>494</v>
      </c>
      <c r="C7" s="65">
        <v>12</v>
      </c>
      <c r="D7" s="612"/>
      <c r="E7" s="589"/>
      <c r="F7" s="589"/>
      <c r="G7" s="614"/>
      <c r="H7" s="92">
        <v>12</v>
      </c>
      <c r="I7" s="89" t="s">
        <v>839</v>
      </c>
      <c r="J7" s="256" t="s">
        <v>221</v>
      </c>
      <c r="K7" s="603"/>
      <c r="L7" s="257" t="s">
        <v>873</v>
      </c>
      <c r="M7" s="65">
        <v>12</v>
      </c>
      <c r="N7" s="65">
        <v>12</v>
      </c>
      <c r="O7" s="184">
        <v>0</v>
      </c>
      <c r="P7" s="63" t="s">
        <v>1371</v>
      </c>
    </row>
    <row r="8" spans="1:16" ht="75" x14ac:dyDescent="0.3">
      <c r="A8" s="184">
        <v>5</v>
      </c>
      <c r="B8" s="84" t="s">
        <v>496</v>
      </c>
      <c r="C8" s="65">
        <v>4</v>
      </c>
      <c r="D8" s="89">
        <v>2017</v>
      </c>
      <c r="E8" s="65" t="s">
        <v>278</v>
      </c>
      <c r="F8" s="65" t="s">
        <v>221</v>
      </c>
      <c r="G8" s="87">
        <v>10601.739130434784</v>
      </c>
      <c r="H8" s="93">
        <v>4</v>
      </c>
      <c r="I8" s="86" t="s">
        <v>839</v>
      </c>
      <c r="J8" s="85" t="s">
        <v>221</v>
      </c>
      <c r="K8" s="332" t="s">
        <v>2045</v>
      </c>
      <c r="L8" s="83" t="s">
        <v>873</v>
      </c>
      <c r="M8" s="65">
        <v>4</v>
      </c>
      <c r="N8" s="65">
        <v>4</v>
      </c>
      <c r="O8" s="184">
        <v>0</v>
      </c>
      <c r="P8" s="63" t="s">
        <v>1371</v>
      </c>
    </row>
    <row r="9" spans="1:16" ht="36.75" customHeight="1" x14ac:dyDescent="0.3">
      <c r="A9" s="184">
        <v>6</v>
      </c>
      <c r="B9" s="58" t="s">
        <v>495</v>
      </c>
      <c r="C9" s="65">
        <v>214</v>
      </c>
      <c r="D9" s="83">
        <v>2016</v>
      </c>
      <c r="E9" s="65" t="s">
        <v>102</v>
      </c>
      <c r="F9" s="65">
        <v>6587.78</v>
      </c>
      <c r="G9" s="94">
        <v>1409785</v>
      </c>
      <c r="H9" s="92">
        <v>214</v>
      </c>
      <c r="I9" s="89" t="s">
        <v>839</v>
      </c>
      <c r="J9" s="89" t="s">
        <v>221</v>
      </c>
      <c r="K9" s="333" t="s">
        <v>2046</v>
      </c>
      <c r="L9" s="83" t="s">
        <v>873</v>
      </c>
      <c r="M9" s="65">
        <v>214</v>
      </c>
      <c r="N9" s="65">
        <v>214</v>
      </c>
      <c r="O9" s="184">
        <v>0</v>
      </c>
      <c r="P9" s="63" t="s">
        <v>1371</v>
      </c>
    </row>
    <row r="10" spans="1:16" x14ac:dyDescent="0.3">
      <c r="A10" s="184">
        <v>7</v>
      </c>
      <c r="B10" s="84" t="s">
        <v>495</v>
      </c>
      <c r="C10" s="65">
        <v>175</v>
      </c>
      <c r="D10" s="89">
        <v>2017</v>
      </c>
      <c r="E10" s="65" t="s">
        <v>278</v>
      </c>
      <c r="F10" s="65" t="s">
        <v>221</v>
      </c>
      <c r="G10" s="87">
        <v>404173.91304347827</v>
      </c>
      <c r="H10" s="92">
        <v>175</v>
      </c>
      <c r="I10" s="89" t="s">
        <v>839</v>
      </c>
      <c r="J10" s="256" t="s">
        <v>221</v>
      </c>
      <c r="K10" s="334" t="s">
        <v>2044</v>
      </c>
      <c r="L10" s="257" t="s">
        <v>873</v>
      </c>
      <c r="M10" s="65">
        <v>175</v>
      </c>
      <c r="N10" s="65">
        <v>175</v>
      </c>
      <c r="O10" s="184">
        <v>0</v>
      </c>
      <c r="P10" s="63" t="s">
        <v>1371</v>
      </c>
    </row>
    <row r="11" spans="1:16" ht="37.5" x14ac:dyDescent="0.3">
      <c r="A11" s="184">
        <v>8</v>
      </c>
      <c r="B11" s="605" t="s">
        <v>497</v>
      </c>
      <c r="C11" s="588">
        <v>4</v>
      </c>
      <c r="D11" s="431">
        <v>2017</v>
      </c>
      <c r="E11" s="588" t="s">
        <v>278</v>
      </c>
      <c r="F11" s="588" t="s">
        <v>221</v>
      </c>
      <c r="G11" s="615">
        <v>586956.52</v>
      </c>
      <c r="H11" s="92">
        <v>2</v>
      </c>
      <c r="I11" s="89" t="s">
        <v>839</v>
      </c>
      <c r="J11" s="88" t="s">
        <v>2073</v>
      </c>
      <c r="K11" s="332" t="s">
        <v>2074</v>
      </c>
      <c r="L11" s="83" t="s">
        <v>873</v>
      </c>
      <c r="M11" s="588">
        <v>4</v>
      </c>
      <c r="N11" s="588">
        <v>4</v>
      </c>
      <c r="O11" s="184">
        <v>0</v>
      </c>
      <c r="P11" s="63" t="s">
        <v>1371</v>
      </c>
    </row>
    <row r="12" spans="1:16" ht="37.5" x14ac:dyDescent="0.3">
      <c r="A12" s="184">
        <v>9</v>
      </c>
      <c r="B12" s="606"/>
      <c r="C12" s="589"/>
      <c r="D12" s="433"/>
      <c r="E12" s="589"/>
      <c r="F12" s="589"/>
      <c r="G12" s="604"/>
      <c r="H12" s="92">
        <v>2</v>
      </c>
      <c r="I12" s="89" t="s">
        <v>839</v>
      </c>
      <c r="J12" s="88" t="s">
        <v>2075</v>
      </c>
      <c r="K12" s="331" t="s">
        <v>2076</v>
      </c>
      <c r="L12" s="83" t="s">
        <v>873</v>
      </c>
      <c r="M12" s="589"/>
      <c r="N12" s="589"/>
      <c r="O12" s="184">
        <v>0</v>
      </c>
      <c r="P12" s="63" t="s">
        <v>1371</v>
      </c>
    </row>
    <row r="13" spans="1:16" ht="187.5" x14ac:dyDescent="0.3">
      <c r="A13" s="184">
        <v>10</v>
      </c>
      <c r="B13" s="89" t="s">
        <v>498</v>
      </c>
      <c r="C13" s="65">
        <v>10</v>
      </c>
      <c r="D13" s="89">
        <v>2017</v>
      </c>
      <c r="E13" s="184" t="s">
        <v>434</v>
      </c>
      <c r="F13" s="184" t="s">
        <v>221</v>
      </c>
      <c r="G13" s="95">
        <v>38087</v>
      </c>
      <c r="H13" s="93">
        <v>10</v>
      </c>
      <c r="I13" s="86" t="s">
        <v>839</v>
      </c>
      <c r="J13" s="258" t="s">
        <v>2079</v>
      </c>
      <c r="K13" s="331" t="s">
        <v>2078</v>
      </c>
      <c r="L13" s="83" t="s">
        <v>873</v>
      </c>
      <c r="M13" s="65">
        <v>10</v>
      </c>
      <c r="N13" s="65">
        <v>10</v>
      </c>
      <c r="O13" s="184">
        <v>0</v>
      </c>
      <c r="P13" s="63" t="s">
        <v>1371</v>
      </c>
    </row>
    <row r="14" spans="1:16" ht="294" customHeight="1" x14ac:dyDescent="0.3">
      <c r="A14" s="184">
        <v>11</v>
      </c>
      <c r="B14" s="89" t="s">
        <v>499</v>
      </c>
      <c r="C14" s="184">
        <v>14</v>
      </c>
      <c r="D14" s="89">
        <v>2017</v>
      </c>
      <c r="E14" s="184" t="s">
        <v>434</v>
      </c>
      <c r="F14" s="184" t="s">
        <v>221</v>
      </c>
      <c r="G14" s="95">
        <v>84000</v>
      </c>
      <c r="H14" s="93">
        <v>14</v>
      </c>
      <c r="I14" s="86" t="s">
        <v>839</v>
      </c>
      <c r="J14" s="89" t="s">
        <v>500</v>
      </c>
      <c r="K14" s="331" t="s">
        <v>2080</v>
      </c>
      <c r="L14" s="83" t="s">
        <v>873</v>
      </c>
      <c r="M14" s="184">
        <v>14</v>
      </c>
      <c r="N14" s="184">
        <v>14</v>
      </c>
      <c r="O14" s="184">
        <v>0</v>
      </c>
      <c r="P14" s="63" t="s">
        <v>1951</v>
      </c>
    </row>
    <row r="15" spans="1:16" ht="37.5" x14ac:dyDescent="0.3">
      <c r="A15" s="184">
        <v>12</v>
      </c>
      <c r="B15" s="89" t="s">
        <v>501</v>
      </c>
      <c r="C15" s="184">
        <v>2</v>
      </c>
      <c r="D15" s="89">
        <v>2017</v>
      </c>
      <c r="E15" s="184" t="s">
        <v>434</v>
      </c>
      <c r="F15" s="184" t="s">
        <v>221</v>
      </c>
      <c r="G15" s="95">
        <v>12800</v>
      </c>
      <c r="H15" s="93">
        <v>2</v>
      </c>
      <c r="I15" s="86" t="s">
        <v>839</v>
      </c>
      <c r="J15" s="89">
        <v>887</v>
      </c>
      <c r="K15" s="331" t="s">
        <v>2077</v>
      </c>
      <c r="L15" s="83" t="s">
        <v>873</v>
      </c>
      <c r="M15" s="184">
        <v>2</v>
      </c>
      <c r="N15" s="184">
        <v>2</v>
      </c>
      <c r="O15" s="184">
        <v>0</v>
      </c>
      <c r="P15" s="63" t="s">
        <v>1371</v>
      </c>
    </row>
    <row r="16" spans="1:16" ht="348.75" customHeight="1" x14ac:dyDescent="0.3">
      <c r="A16" s="184">
        <v>13</v>
      </c>
      <c r="B16" s="89" t="s">
        <v>502</v>
      </c>
      <c r="C16" s="184">
        <v>18</v>
      </c>
      <c r="D16" s="89">
        <v>2017</v>
      </c>
      <c r="E16" s="184" t="s">
        <v>434</v>
      </c>
      <c r="F16" s="184" t="s">
        <v>221</v>
      </c>
      <c r="G16" s="95">
        <v>67200</v>
      </c>
      <c r="H16" s="93">
        <v>18</v>
      </c>
      <c r="I16" s="86" t="s">
        <v>839</v>
      </c>
      <c r="J16" s="89" t="s">
        <v>510</v>
      </c>
      <c r="K16" s="331" t="s">
        <v>2081</v>
      </c>
      <c r="L16" s="83" t="s">
        <v>873</v>
      </c>
      <c r="M16" s="184">
        <v>18</v>
      </c>
      <c r="N16" s="184">
        <v>18</v>
      </c>
      <c r="O16" s="184">
        <v>0</v>
      </c>
      <c r="P16" s="63" t="s">
        <v>1448</v>
      </c>
    </row>
    <row r="17" spans="1:16" ht="112.5" x14ac:dyDescent="0.3">
      <c r="A17" s="184">
        <v>14</v>
      </c>
      <c r="B17" s="89" t="s">
        <v>503</v>
      </c>
      <c r="C17" s="184">
        <v>6</v>
      </c>
      <c r="D17" s="89" t="s">
        <v>505</v>
      </c>
      <c r="E17" s="65" t="s">
        <v>506</v>
      </c>
      <c r="F17" s="184" t="s">
        <v>507</v>
      </c>
      <c r="G17" s="96">
        <v>73794</v>
      </c>
      <c r="H17" s="93">
        <v>6</v>
      </c>
      <c r="I17" s="86" t="s">
        <v>839</v>
      </c>
      <c r="J17" s="89" t="s">
        <v>511</v>
      </c>
      <c r="K17" s="331" t="s">
        <v>1901</v>
      </c>
      <c r="L17" s="83" t="s">
        <v>873</v>
      </c>
      <c r="M17" s="184">
        <v>6</v>
      </c>
      <c r="N17" s="184">
        <v>6</v>
      </c>
      <c r="O17" s="184">
        <v>0</v>
      </c>
      <c r="P17" s="63" t="s">
        <v>1371</v>
      </c>
    </row>
    <row r="18" spans="1:16" ht="131.25" x14ac:dyDescent="0.3">
      <c r="A18" s="184">
        <v>15</v>
      </c>
      <c r="B18" s="89" t="s">
        <v>499</v>
      </c>
      <c r="C18" s="184">
        <v>7</v>
      </c>
      <c r="D18" s="495" t="s">
        <v>1877</v>
      </c>
      <c r="E18" s="607" t="s">
        <v>508</v>
      </c>
      <c r="F18" s="588" t="s">
        <v>509</v>
      </c>
      <c r="G18" s="604">
        <v>53998</v>
      </c>
      <c r="H18" s="93">
        <v>7</v>
      </c>
      <c r="I18" s="86" t="s">
        <v>876</v>
      </c>
      <c r="J18" s="89" t="s">
        <v>512</v>
      </c>
      <c r="K18" s="331" t="s">
        <v>2082</v>
      </c>
      <c r="L18" s="83" t="s">
        <v>873</v>
      </c>
      <c r="M18" s="184">
        <v>7</v>
      </c>
      <c r="N18" s="184">
        <v>7</v>
      </c>
      <c r="O18" s="184">
        <v>0</v>
      </c>
      <c r="P18" s="63" t="s">
        <v>1371</v>
      </c>
    </row>
    <row r="19" spans="1:16" ht="37.5" x14ac:dyDescent="0.3">
      <c r="A19" s="184">
        <v>16</v>
      </c>
      <c r="B19" s="89" t="s">
        <v>504</v>
      </c>
      <c r="C19" s="184">
        <v>2</v>
      </c>
      <c r="D19" s="495"/>
      <c r="E19" s="608"/>
      <c r="F19" s="610"/>
      <c r="G19" s="604"/>
      <c r="H19" s="93">
        <v>2</v>
      </c>
      <c r="I19" s="86" t="s">
        <v>876</v>
      </c>
      <c r="J19" s="89" t="s">
        <v>513</v>
      </c>
      <c r="K19" s="331" t="s">
        <v>2083</v>
      </c>
      <c r="L19" s="83" t="s">
        <v>873</v>
      </c>
      <c r="M19" s="184">
        <v>2</v>
      </c>
      <c r="N19" s="184">
        <v>2</v>
      </c>
      <c r="O19" s="184">
        <v>0</v>
      </c>
      <c r="P19" s="63" t="s">
        <v>1371</v>
      </c>
    </row>
    <row r="20" spans="1:16" ht="37.5" x14ac:dyDescent="0.3">
      <c r="A20" s="184">
        <v>17</v>
      </c>
      <c r="B20" s="89" t="s">
        <v>502</v>
      </c>
      <c r="C20" s="184">
        <v>2</v>
      </c>
      <c r="D20" s="495"/>
      <c r="E20" s="608"/>
      <c r="F20" s="610"/>
      <c r="G20" s="604"/>
      <c r="H20" s="93">
        <v>2</v>
      </c>
      <c r="I20" s="86" t="s">
        <v>876</v>
      </c>
      <c r="J20" s="89" t="s">
        <v>514</v>
      </c>
      <c r="K20" s="331" t="s">
        <v>2084</v>
      </c>
      <c r="L20" s="83" t="s">
        <v>873</v>
      </c>
      <c r="M20" s="184">
        <v>2</v>
      </c>
      <c r="N20" s="184">
        <v>2</v>
      </c>
      <c r="O20" s="184">
        <v>0</v>
      </c>
      <c r="P20" s="63" t="s">
        <v>1371</v>
      </c>
    </row>
    <row r="21" spans="1:16" ht="37.5" x14ac:dyDescent="0.3">
      <c r="A21" s="184">
        <v>18</v>
      </c>
      <c r="B21" s="89" t="s">
        <v>501</v>
      </c>
      <c r="C21" s="184">
        <v>3</v>
      </c>
      <c r="D21" s="495"/>
      <c r="E21" s="609"/>
      <c r="F21" s="589"/>
      <c r="G21" s="604"/>
      <c r="H21" s="93">
        <v>3</v>
      </c>
      <c r="I21" s="86" t="s">
        <v>853</v>
      </c>
      <c r="J21" s="89" t="s">
        <v>515</v>
      </c>
      <c r="K21" s="331" t="s">
        <v>2085</v>
      </c>
      <c r="L21" s="89" t="s">
        <v>873</v>
      </c>
      <c r="M21" s="184">
        <v>3</v>
      </c>
      <c r="N21" s="184">
        <v>3</v>
      </c>
      <c r="O21" s="184">
        <v>0</v>
      </c>
      <c r="P21" s="63" t="s">
        <v>1371</v>
      </c>
    </row>
    <row r="22" spans="1:16" s="198" customFormat="1" ht="22.5" customHeight="1" x14ac:dyDescent="0.35">
      <c r="C22" s="199">
        <f>SUM(C4:C21)</f>
        <v>476</v>
      </c>
      <c r="G22" s="200">
        <f>SUM(G4:G21)</f>
        <v>3538431.1721739131</v>
      </c>
      <c r="H22" s="201">
        <f>SUM(H4:H21)</f>
        <v>476</v>
      </c>
      <c r="K22" s="335"/>
    </row>
  </sheetData>
  <mergeCells count="31">
    <mergeCell ref="K6:K7"/>
    <mergeCell ref="G18:G21"/>
    <mergeCell ref="B11:B12"/>
    <mergeCell ref="C11:C12"/>
    <mergeCell ref="D18:D21"/>
    <mergeCell ref="E18:E21"/>
    <mergeCell ref="F18:F21"/>
    <mergeCell ref="E6:E7"/>
    <mergeCell ref="D6:D7"/>
    <mergeCell ref="F6:F7"/>
    <mergeCell ref="G6:G7"/>
    <mergeCell ref="G11:G12"/>
    <mergeCell ref="D11:D12"/>
    <mergeCell ref="E11:E12"/>
    <mergeCell ref="F11:F12"/>
    <mergeCell ref="M11:M12"/>
    <mergeCell ref="N11:N12"/>
    <mergeCell ref="A1:P1"/>
    <mergeCell ref="F2:F3"/>
    <mergeCell ref="G2:G3"/>
    <mergeCell ref="H2:J2"/>
    <mergeCell ref="A2:A3"/>
    <mergeCell ref="B2:B3"/>
    <mergeCell ref="C2:C3"/>
    <mergeCell ref="D2:D3"/>
    <mergeCell ref="E2:E3"/>
    <mergeCell ref="L2:L3"/>
    <mergeCell ref="M2:M3"/>
    <mergeCell ref="N2:N3"/>
    <mergeCell ref="O2:O3"/>
    <mergeCell ref="P2:P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6" fitToHeight="0" orientation="landscape" r:id="rId1"/>
  <ignoredErrors>
    <ignoredError sqref="J14 J1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8"/>
  <sheetViews>
    <sheetView zoomScale="80" zoomScaleNormal="80" zoomScaleSheetLayoutView="70" workbookViewId="0">
      <pane ySplit="3" topLeftCell="A4" activePane="bottomLeft" state="frozen"/>
      <selection activeCell="B16" sqref="B16"/>
      <selection pane="bottomLeft" activeCell="L11" sqref="L11"/>
    </sheetView>
  </sheetViews>
  <sheetFormatPr defaultRowHeight="18.75" x14ac:dyDescent="0.3"/>
  <cols>
    <col min="1" max="1" width="7.140625" style="36" bestFit="1" customWidth="1"/>
    <col min="2" max="2" width="17.42578125" style="58" customWidth="1"/>
    <col min="3" max="3" width="27.140625" style="45" customWidth="1"/>
    <col min="4" max="4" width="5.5703125" style="36" bestFit="1" customWidth="1"/>
    <col min="5" max="5" width="26" style="45" customWidth="1"/>
    <col min="6" max="6" width="25.85546875" style="45" customWidth="1"/>
    <col min="7" max="7" width="23" style="45" customWidth="1"/>
    <col min="8" max="8" width="18.42578125" style="36" bestFit="1" customWidth="1"/>
    <col min="9" max="9" width="5.5703125" style="36" bestFit="1" customWidth="1"/>
    <col min="10" max="10" width="16.85546875" style="36" customWidth="1"/>
    <col min="11" max="11" width="24.140625" style="36" customWidth="1"/>
    <col min="12" max="12" width="24.140625" style="390" customWidth="1"/>
    <col min="13" max="13" width="18" style="36" customWidth="1"/>
    <col min="14" max="14" width="7.85546875" style="36" customWidth="1"/>
    <col min="15" max="16" width="13" style="36" customWidth="1"/>
    <col min="17" max="17" width="19" style="36" customWidth="1"/>
    <col min="18" max="18" width="21.85546875" style="36" customWidth="1"/>
    <col min="19" max="16384" width="9.140625" style="36"/>
  </cols>
  <sheetData>
    <row r="1" spans="1:17" ht="21" x14ac:dyDescent="0.35">
      <c r="A1" s="627" t="s">
        <v>1465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</row>
    <row r="2" spans="1:17" ht="15.75" customHeight="1" x14ac:dyDescent="0.3">
      <c r="A2" s="598" t="s">
        <v>0</v>
      </c>
      <c r="B2" s="51"/>
      <c r="C2" s="628" t="s">
        <v>1</v>
      </c>
      <c r="D2" s="598" t="s">
        <v>2</v>
      </c>
      <c r="E2" s="628" t="s">
        <v>10</v>
      </c>
      <c r="F2" s="628" t="s">
        <v>3</v>
      </c>
      <c r="G2" s="628" t="s">
        <v>4</v>
      </c>
      <c r="H2" s="598" t="s">
        <v>5</v>
      </c>
      <c r="I2" s="629" t="s">
        <v>9</v>
      </c>
      <c r="J2" s="629"/>
      <c r="K2" s="629"/>
      <c r="L2" s="391"/>
      <c r="M2" s="630" t="s">
        <v>1025</v>
      </c>
      <c r="N2" s="601" t="s">
        <v>6</v>
      </c>
      <c r="O2" s="601" t="s">
        <v>7</v>
      </c>
      <c r="P2" s="601" t="s">
        <v>8</v>
      </c>
      <c r="Q2" s="601" t="s">
        <v>836</v>
      </c>
    </row>
    <row r="3" spans="1:17" ht="33.75" customHeight="1" x14ac:dyDescent="0.3">
      <c r="A3" s="598"/>
      <c r="B3" s="51"/>
      <c r="C3" s="628"/>
      <c r="D3" s="598"/>
      <c r="E3" s="628"/>
      <c r="F3" s="628"/>
      <c r="G3" s="628"/>
      <c r="H3" s="598"/>
      <c r="I3" s="52" t="s">
        <v>11</v>
      </c>
      <c r="J3" s="52" t="s">
        <v>676</v>
      </c>
      <c r="K3" s="52" t="s">
        <v>12</v>
      </c>
      <c r="L3" s="211" t="s">
        <v>1915</v>
      </c>
      <c r="M3" s="630"/>
      <c r="N3" s="601"/>
      <c r="O3" s="601"/>
      <c r="P3" s="601"/>
      <c r="Q3" s="601"/>
    </row>
    <row r="4" spans="1:17" s="55" customFormat="1" ht="25.5" customHeight="1" thickBot="1" x14ac:dyDescent="0.35">
      <c r="A4" s="66">
        <v>1</v>
      </c>
      <c r="B4" s="625" t="s">
        <v>1231</v>
      </c>
      <c r="C4" s="622" t="s">
        <v>1224</v>
      </c>
      <c r="D4" s="465">
        <v>2</v>
      </c>
      <c r="E4" s="622" t="s">
        <v>1241</v>
      </c>
      <c r="F4" s="622" t="s">
        <v>1242</v>
      </c>
      <c r="G4" s="56" t="s">
        <v>221</v>
      </c>
      <c r="H4" s="466">
        <v>93475</v>
      </c>
      <c r="I4" s="54">
        <v>1</v>
      </c>
      <c r="J4" s="54" t="s">
        <v>838</v>
      </c>
      <c r="K4" s="232" t="s">
        <v>2261</v>
      </c>
      <c r="L4" s="344" t="s">
        <v>2262</v>
      </c>
      <c r="M4" s="54" t="s">
        <v>841</v>
      </c>
      <c r="N4" s="54">
        <v>1</v>
      </c>
      <c r="O4" s="54">
        <v>1</v>
      </c>
      <c r="P4" s="54">
        <v>0</v>
      </c>
      <c r="Q4" s="54" t="s">
        <v>1240</v>
      </c>
    </row>
    <row r="5" spans="1:17" s="55" customFormat="1" ht="25.5" customHeight="1" thickBot="1" x14ac:dyDescent="0.35">
      <c r="A5" s="66">
        <v>2</v>
      </c>
      <c r="B5" s="625"/>
      <c r="C5" s="622"/>
      <c r="D5" s="465"/>
      <c r="E5" s="622"/>
      <c r="F5" s="622"/>
      <c r="G5" s="56" t="s">
        <v>221</v>
      </c>
      <c r="H5" s="464"/>
      <c r="I5" s="54">
        <v>1</v>
      </c>
      <c r="J5" s="54" t="s">
        <v>838</v>
      </c>
      <c r="K5" s="254" t="s">
        <v>2263</v>
      </c>
      <c r="L5" s="344" t="s">
        <v>2264</v>
      </c>
      <c r="M5" s="54" t="s">
        <v>841</v>
      </c>
      <c r="N5" s="54">
        <v>1</v>
      </c>
      <c r="O5" s="54">
        <v>1</v>
      </c>
      <c r="P5" s="54">
        <v>0</v>
      </c>
      <c r="Q5" s="54" t="s">
        <v>1240</v>
      </c>
    </row>
    <row r="6" spans="1:17" s="55" customFormat="1" ht="25.5" customHeight="1" x14ac:dyDescent="0.25">
      <c r="A6" s="66">
        <v>3</v>
      </c>
      <c r="B6" s="625"/>
      <c r="C6" s="374" t="s">
        <v>1221</v>
      </c>
      <c r="D6" s="380">
        <v>1</v>
      </c>
      <c r="E6" s="374" t="s">
        <v>221</v>
      </c>
      <c r="F6" s="374" t="s">
        <v>221</v>
      </c>
      <c r="G6" s="374" t="s">
        <v>221</v>
      </c>
      <c r="H6" s="218" t="s">
        <v>221</v>
      </c>
      <c r="I6" s="218">
        <v>1</v>
      </c>
      <c r="J6" s="218" t="s">
        <v>838</v>
      </c>
      <c r="K6" s="381">
        <v>855920</v>
      </c>
      <c r="L6" s="382" t="s">
        <v>2302</v>
      </c>
      <c r="M6" s="218" t="s">
        <v>841</v>
      </c>
      <c r="N6" s="218">
        <v>1</v>
      </c>
      <c r="O6" s="218">
        <v>1</v>
      </c>
      <c r="P6" s="218">
        <v>0</v>
      </c>
      <c r="Q6" s="218" t="s">
        <v>1240</v>
      </c>
    </row>
    <row r="7" spans="1:17" s="55" customFormat="1" ht="37.5" x14ac:dyDescent="0.25">
      <c r="A7" s="66">
        <v>4</v>
      </c>
      <c r="B7" s="625"/>
      <c r="C7" s="56" t="s">
        <v>1222</v>
      </c>
      <c r="D7" s="53">
        <v>1</v>
      </c>
      <c r="E7" s="56" t="s">
        <v>1321</v>
      </c>
      <c r="F7" s="56" t="s">
        <v>1316</v>
      </c>
      <c r="G7" s="56" t="s">
        <v>221</v>
      </c>
      <c r="H7" s="54">
        <v>4130</v>
      </c>
      <c r="I7" s="54">
        <v>1</v>
      </c>
      <c r="J7" s="242" t="s">
        <v>838</v>
      </c>
      <c r="K7" s="240">
        <v>10139660</v>
      </c>
      <c r="L7" s="226" t="s">
        <v>1317</v>
      </c>
      <c r="M7" s="237" t="s">
        <v>841</v>
      </c>
      <c r="N7" s="54">
        <v>1</v>
      </c>
      <c r="O7" s="54">
        <v>1</v>
      </c>
      <c r="P7" s="54">
        <v>0</v>
      </c>
      <c r="Q7" s="54" t="s">
        <v>1240</v>
      </c>
    </row>
    <row r="8" spans="1:17" s="58" customFormat="1" ht="60.75" customHeight="1" x14ac:dyDescent="0.25">
      <c r="A8" s="66">
        <v>5</v>
      </c>
      <c r="B8" s="373" t="s">
        <v>2295</v>
      </c>
      <c r="C8" s="374" t="s">
        <v>319</v>
      </c>
      <c r="D8" s="375">
        <v>1</v>
      </c>
      <c r="E8" s="376" t="s">
        <v>2301</v>
      </c>
      <c r="F8" s="376" t="s">
        <v>2298</v>
      </c>
      <c r="G8" s="376" t="s">
        <v>2299</v>
      </c>
      <c r="H8" s="377">
        <v>24790</v>
      </c>
      <c r="I8" s="218">
        <v>1</v>
      </c>
      <c r="J8" s="378" t="s">
        <v>838</v>
      </c>
      <c r="K8" s="218" t="s">
        <v>321</v>
      </c>
      <c r="L8" s="375" t="s">
        <v>2297</v>
      </c>
      <c r="M8" s="379" t="s">
        <v>2300</v>
      </c>
      <c r="N8" s="218">
        <v>1</v>
      </c>
      <c r="O8" s="218">
        <v>1</v>
      </c>
      <c r="P8" s="375">
        <v>0</v>
      </c>
      <c r="Q8" s="375" t="s">
        <v>2296</v>
      </c>
    </row>
    <row r="9" spans="1:17" s="58" customFormat="1" ht="57" thickBot="1" x14ac:dyDescent="0.3">
      <c r="A9" s="66">
        <v>6</v>
      </c>
      <c r="B9" s="65" t="s">
        <v>1364</v>
      </c>
      <c r="C9" s="56" t="s">
        <v>826</v>
      </c>
      <c r="D9" s="100">
        <v>1</v>
      </c>
      <c r="E9" s="56" t="s">
        <v>883</v>
      </c>
      <c r="F9" s="80" t="s">
        <v>884</v>
      </c>
      <c r="G9" s="80" t="s">
        <v>882</v>
      </c>
      <c r="H9" s="59">
        <v>514990</v>
      </c>
      <c r="I9" s="54">
        <v>1</v>
      </c>
      <c r="J9" s="242" t="s">
        <v>838</v>
      </c>
      <c r="K9" s="223" t="s">
        <v>880</v>
      </c>
      <c r="L9" s="334" t="s">
        <v>2105</v>
      </c>
      <c r="M9" s="237" t="s">
        <v>868</v>
      </c>
      <c r="N9" s="54">
        <v>1</v>
      </c>
      <c r="O9" s="54">
        <v>1</v>
      </c>
      <c r="P9" s="100">
        <v>0</v>
      </c>
      <c r="Q9" s="100" t="s">
        <v>881</v>
      </c>
    </row>
    <row r="10" spans="1:17" s="58" customFormat="1" ht="47.25" customHeight="1" thickBot="1" x14ac:dyDescent="0.3">
      <c r="A10" s="66">
        <v>7</v>
      </c>
      <c r="B10" s="65"/>
      <c r="C10" s="60" t="s">
        <v>1360</v>
      </c>
      <c r="D10" s="100">
        <v>1</v>
      </c>
      <c r="E10" s="56" t="s">
        <v>2303</v>
      </c>
      <c r="F10" s="80" t="s">
        <v>2304</v>
      </c>
      <c r="G10" s="80" t="s">
        <v>2305</v>
      </c>
      <c r="H10" s="383">
        <v>7250</v>
      </c>
      <c r="I10" s="54">
        <v>1</v>
      </c>
      <c r="J10" s="242" t="s">
        <v>837</v>
      </c>
      <c r="K10" s="223" t="s">
        <v>221</v>
      </c>
      <c r="L10" s="369" t="s">
        <v>2271</v>
      </c>
      <c r="M10" s="237" t="s">
        <v>873</v>
      </c>
      <c r="N10" s="54">
        <v>1</v>
      </c>
      <c r="O10" s="54">
        <v>1</v>
      </c>
      <c r="P10" s="100">
        <v>0</v>
      </c>
      <c r="Q10" s="100" t="s">
        <v>881</v>
      </c>
    </row>
    <row r="11" spans="1:17" s="58" customFormat="1" ht="82.5" customHeight="1" x14ac:dyDescent="0.25">
      <c r="A11" s="66">
        <v>8</v>
      </c>
      <c r="B11" s="588" t="s">
        <v>2309</v>
      </c>
      <c r="C11" s="60" t="s">
        <v>1360</v>
      </c>
      <c r="D11" s="100">
        <v>4</v>
      </c>
      <c r="E11" s="56" t="s">
        <v>2306</v>
      </c>
      <c r="F11" s="80" t="s">
        <v>2307</v>
      </c>
      <c r="G11" s="80" t="s">
        <v>2308</v>
      </c>
      <c r="H11" s="383">
        <v>52780</v>
      </c>
      <c r="I11" s="54">
        <v>4</v>
      </c>
      <c r="J11" s="242" t="s">
        <v>838</v>
      </c>
      <c r="K11" s="307" t="s">
        <v>2265</v>
      </c>
      <c r="L11" s="226" t="s">
        <v>2266</v>
      </c>
      <c r="M11" s="237" t="s">
        <v>873</v>
      </c>
      <c r="N11" s="54">
        <v>4</v>
      </c>
      <c r="O11" s="54">
        <v>4</v>
      </c>
      <c r="P11" s="100">
        <v>0</v>
      </c>
      <c r="Q11" s="100" t="s">
        <v>881</v>
      </c>
    </row>
    <row r="12" spans="1:17" s="58" customFormat="1" ht="52.5" customHeight="1" x14ac:dyDescent="0.25">
      <c r="A12" s="66">
        <v>9</v>
      </c>
      <c r="B12" s="610"/>
      <c r="C12" s="56" t="s">
        <v>1226</v>
      </c>
      <c r="D12" s="100">
        <v>1</v>
      </c>
      <c r="E12" s="313" t="s">
        <v>2306</v>
      </c>
      <c r="F12" s="80" t="s">
        <v>2307</v>
      </c>
      <c r="G12" s="80" t="s">
        <v>2308</v>
      </c>
      <c r="H12" s="57">
        <v>12688</v>
      </c>
      <c r="I12" s="54">
        <v>1</v>
      </c>
      <c r="J12" s="242" t="s">
        <v>837</v>
      </c>
      <c r="K12" s="61" t="s">
        <v>1010</v>
      </c>
      <c r="L12" s="334" t="s">
        <v>2050</v>
      </c>
      <c r="M12" s="237" t="s">
        <v>873</v>
      </c>
      <c r="N12" s="54">
        <v>1</v>
      </c>
      <c r="O12" s="54">
        <v>1</v>
      </c>
      <c r="P12" s="100">
        <v>0</v>
      </c>
      <c r="Q12" s="100" t="s">
        <v>881</v>
      </c>
    </row>
    <row r="13" spans="1:17" s="58" customFormat="1" ht="43.5" customHeight="1" thickBot="1" x14ac:dyDescent="0.35">
      <c r="A13" s="66">
        <v>10</v>
      </c>
      <c r="B13" s="589"/>
      <c r="C13" s="56" t="s">
        <v>1225</v>
      </c>
      <c r="D13" s="100">
        <v>1</v>
      </c>
      <c r="E13" s="313" t="s">
        <v>2306</v>
      </c>
      <c r="F13" s="80" t="s">
        <v>2307</v>
      </c>
      <c r="G13" s="80" t="s">
        <v>2308</v>
      </c>
      <c r="H13" s="57">
        <v>39780</v>
      </c>
      <c r="I13" s="54">
        <v>1</v>
      </c>
      <c r="J13" s="242" t="s">
        <v>876</v>
      </c>
      <c r="K13" s="61" t="s">
        <v>1223</v>
      </c>
      <c r="L13" s="343" t="s">
        <v>2106</v>
      </c>
      <c r="M13" s="237" t="s">
        <v>873</v>
      </c>
      <c r="N13" s="54">
        <v>1</v>
      </c>
      <c r="O13" s="54">
        <v>1</v>
      </c>
      <c r="P13" s="100">
        <v>0</v>
      </c>
      <c r="Q13" s="100" t="s">
        <v>881</v>
      </c>
    </row>
    <row r="14" spans="1:17" s="55" customFormat="1" ht="25.5" customHeight="1" thickBot="1" x14ac:dyDescent="0.3">
      <c r="A14" s="66">
        <v>11</v>
      </c>
      <c r="B14" s="65"/>
      <c r="C14" s="56" t="s">
        <v>1217</v>
      </c>
      <c r="D14" s="54">
        <v>1</v>
      </c>
      <c r="E14" s="56" t="s">
        <v>221</v>
      </c>
      <c r="F14" s="56" t="s">
        <v>221</v>
      </c>
      <c r="G14" s="56" t="s">
        <v>221</v>
      </c>
      <c r="H14" s="62">
        <v>1950</v>
      </c>
      <c r="I14" s="54">
        <v>1</v>
      </c>
      <c r="J14" s="242" t="s">
        <v>876</v>
      </c>
      <c r="K14" s="223" t="s">
        <v>221</v>
      </c>
      <c r="L14" s="370" t="s">
        <v>2267</v>
      </c>
      <c r="M14" s="237" t="s">
        <v>868</v>
      </c>
      <c r="N14" s="54">
        <v>1</v>
      </c>
      <c r="O14" s="54">
        <v>1</v>
      </c>
      <c r="P14" s="54">
        <v>0</v>
      </c>
      <c r="Q14" s="54" t="s">
        <v>1120</v>
      </c>
    </row>
    <row r="15" spans="1:17" s="55" customFormat="1" ht="25.5" customHeight="1" x14ac:dyDescent="0.25">
      <c r="A15" s="66">
        <v>12</v>
      </c>
      <c r="B15" s="66"/>
      <c r="C15" s="81" t="s">
        <v>817</v>
      </c>
      <c r="D15" s="63">
        <v>1</v>
      </c>
      <c r="E15" s="56" t="s">
        <v>221</v>
      </c>
      <c r="F15" s="56" t="s">
        <v>221</v>
      </c>
      <c r="G15" s="56" t="s">
        <v>221</v>
      </c>
      <c r="H15" s="62" t="s">
        <v>221</v>
      </c>
      <c r="I15" s="63">
        <v>1</v>
      </c>
      <c r="J15" s="242" t="s">
        <v>1004</v>
      </c>
      <c r="K15" s="223" t="s">
        <v>221</v>
      </c>
      <c r="L15" s="226" t="s">
        <v>2320</v>
      </c>
      <c r="M15" s="250" t="s">
        <v>873</v>
      </c>
      <c r="N15" s="63">
        <v>1</v>
      </c>
      <c r="O15" s="63">
        <v>1</v>
      </c>
      <c r="P15" s="54">
        <v>0</v>
      </c>
      <c r="Q15" s="54" t="s">
        <v>1354</v>
      </c>
    </row>
    <row r="16" spans="1:17" s="55" customFormat="1" ht="25.5" customHeight="1" x14ac:dyDescent="0.25">
      <c r="A16" s="66">
        <v>13</v>
      </c>
      <c r="B16" s="588" t="s">
        <v>485</v>
      </c>
      <c r="C16" s="81" t="s">
        <v>485</v>
      </c>
      <c r="D16" s="63">
        <v>1</v>
      </c>
      <c r="E16" s="81" t="s">
        <v>1042</v>
      </c>
      <c r="F16" s="56" t="s">
        <v>221</v>
      </c>
      <c r="G16" s="56" t="s">
        <v>221</v>
      </c>
      <c r="H16" s="64">
        <v>18870</v>
      </c>
      <c r="I16" s="63">
        <v>1</v>
      </c>
      <c r="J16" s="242" t="s">
        <v>1004</v>
      </c>
      <c r="K16" s="223">
        <v>8552607</v>
      </c>
      <c r="L16" s="334" t="s">
        <v>2168</v>
      </c>
      <c r="M16" s="250" t="s">
        <v>1120</v>
      </c>
      <c r="N16" s="63">
        <v>1</v>
      </c>
      <c r="O16" s="63">
        <v>1</v>
      </c>
      <c r="P16" s="54">
        <v>0</v>
      </c>
      <c r="Q16" s="63" t="s">
        <v>1371</v>
      </c>
    </row>
    <row r="17" spans="1:18" s="55" customFormat="1" ht="25.5" customHeight="1" thickBot="1" x14ac:dyDescent="0.35">
      <c r="A17" s="66">
        <v>14</v>
      </c>
      <c r="B17" s="610"/>
      <c r="C17" s="81" t="s">
        <v>485</v>
      </c>
      <c r="D17" s="63">
        <v>1</v>
      </c>
      <c r="E17" s="81" t="s">
        <v>221</v>
      </c>
      <c r="F17" s="81" t="s">
        <v>221</v>
      </c>
      <c r="G17" s="81" t="s">
        <v>221</v>
      </c>
      <c r="H17" s="64" t="s">
        <v>221</v>
      </c>
      <c r="I17" s="63">
        <v>1</v>
      </c>
      <c r="J17" s="242" t="s">
        <v>1004</v>
      </c>
      <c r="K17" s="223" t="s">
        <v>221</v>
      </c>
      <c r="L17" s="344" t="s">
        <v>2273</v>
      </c>
      <c r="M17" s="250" t="s">
        <v>1120</v>
      </c>
      <c r="N17" s="63">
        <v>1</v>
      </c>
      <c r="O17" s="63">
        <v>1</v>
      </c>
      <c r="P17" s="54">
        <v>0</v>
      </c>
      <c r="Q17" s="63" t="s">
        <v>1371</v>
      </c>
    </row>
    <row r="18" spans="1:18" s="55" customFormat="1" ht="25.5" customHeight="1" thickBot="1" x14ac:dyDescent="0.25">
      <c r="A18" s="66">
        <v>15</v>
      </c>
      <c r="B18" s="610"/>
      <c r="C18" s="81" t="s">
        <v>485</v>
      </c>
      <c r="D18" s="63">
        <v>1</v>
      </c>
      <c r="E18" s="81" t="s">
        <v>221</v>
      </c>
      <c r="F18" s="81" t="s">
        <v>221</v>
      </c>
      <c r="G18" s="81" t="s">
        <v>221</v>
      </c>
      <c r="H18" s="64" t="s">
        <v>221</v>
      </c>
      <c r="I18" s="63">
        <v>1</v>
      </c>
      <c r="J18" s="242" t="s">
        <v>1004</v>
      </c>
      <c r="K18" s="223" t="s">
        <v>221</v>
      </c>
      <c r="L18" s="369" t="s">
        <v>2271</v>
      </c>
      <c r="M18" s="250" t="s">
        <v>1120</v>
      </c>
      <c r="N18" s="63">
        <v>1</v>
      </c>
      <c r="O18" s="63">
        <v>1</v>
      </c>
      <c r="P18" s="54">
        <v>0</v>
      </c>
      <c r="Q18" s="63" t="s">
        <v>1371</v>
      </c>
      <c r="R18" s="232"/>
    </row>
    <row r="19" spans="1:18" s="55" customFormat="1" ht="25.5" customHeight="1" thickBot="1" x14ac:dyDescent="0.3">
      <c r="A19" s="66">
        <v>16</v>
      </c>
      <c r="B19" s="589"/>
      <c r="C19" s="81" t="s">
        <v>485</v>
      </c>
      <c r="D19" s="63">
        <v>1</v>
      </c>
      <c r="E19" s="81" t="s">
        <v>221</v>
      </c>
      <c r="F19" s="81" t="s">
        <v>221</v>
      </c>
      <c r="G19" s="81" t="s">
        <v>221</v>
      </c>
      <c r="H19" s="64" t="s">
        <v>221</v>
      </c>
      <c r="I19" s="63">
        <v>1</v>
      </c>
      <c r="J19" s="242" t="s">
        <v>1004</v>
      </c>
      <c r="K19" s="223" t="s">
        <v>221</v>
      </c>
      <c r="L19" s="370" t="s">
        <v>2272</v>
      </c>
      <c r="M19" s="250" t="s">
        <v>1120</v>
      </c>
      <c r="N19" s="63">
        <v>1</v>
      </c>
      <c r="O19" s="63">
        <v>1</v>
      </c>
      <c r="P19" s="54">
        <v>0</v>
      </c>
      <c r="Q19" s="63" t="s">
        <v>1371</v>
      </c>
      <c r="R19" s="317"/>
    </row>
    <row r="20" spans="1:18" s="55" customFormat="1" ht="25.5" customHeight="1" x14ac:dyDescent="0.25">
      <c r="A20" s="66">
        <v>17</v>
      </c>
      <c r="B20" s="588" t="s">
        <v>820</v>
      </c>
      <c r="C20" s="81" t="s">
        <v>820</v>
      </c>
      <c r="D20" s="63">
        <v>1</v>
      </c>
      <c r="E20" s="624" t="s">
        <v>221</v>
      </c>
      <c r="F20" s="624" t="s">
        <v>1327</v>
      </c>
      <c r="G20" s="624" t="s">
        <v>1326</v>
      </c>
      <c r="H20" s="64">
        <v>8000</v>
      </c>
      <c r="I20" s="63">
        <v>1</v>
      </c>
      <c r="J20" s="242" t="s">
        <v>1004</v>
      </c>
      <c r="K20" s="222">
        <v>355653005853285</v>
      </c>
      <c r="L20" s="334" t="s">
        <v>2124</v>
      </c>
      <c r="M20" s="250" t="s">
        <v>1120</v>
      </c>
      <c r="N20" s="63">
        <v>1</v>
      </c>
      <c r="O20" s="63">
        <v>1</v>
      </c>
      <c r="P20" s="54">
        <v>0</v>
      </c>
      <c r="Q20" s="63" t="s">
        <v>1371</v>
      </c>
    </row>
    <row r="21" spans="1:18" s="55" customFormat="1" ht="25.5" customHeight="1" x14ac:dyDescent="0.3">
      <c r="A21" s="66">
        <v>18</v>
      </c>
      <c r="B21" s="610"/>
      <c r="C21" s="81" t="s">
        <v>820</v>
      </c>
      <c r="D21" s="63">
        <v>1</v>
      </c>
      <c r="E21" s="624"/>
      <c r="F21" s="624"/>
      <c r="G21" s="624"/>
      <c r="H21" s="64">
        <v>8000</v>
      </c>
      <c r="I21" s="63">
        <v>1</v>
      </c>
      <c r="J21" s="242" t="s">
        <v>1004</v>
      </c>
      <c r="K21" s="222">
        <v>355653005858227</v>
      </c>
      <c r="L21" s="343" t="s">
        <v>2125</v>
      </c>
      <c r="M21" s="250" t="s">
        <v>1120</v>
      </c>
      <c r="N21" s="63">
        <v>1</v>
      </c>
      <c r="O21" s="63">
        <v>1</v>
      </c>
      <c r="P21" s="54">
        <v>0</v>
      </c>
      <c r="Q21" s="63" t="s">
        <v>1371</v>
      </c>
    </row>
    <row r="22" spans="1:18" s="55" customFormat="1" ht="25.5" customHeight="1" x14ac:dyDescent="0.25">
      <c r="A22" s="66">
        <v>19</v>
      </c>
      <c r="B22" s="610"/>
      <c r="C22" s="81" t="s">
        <v>1328</v>
      </c>
      <c r="D22" s="63">
        <v>1</v>
      </c>
      <c r="E22" s="81" t="s">
        <v>221</v>
      </c>
      <c r="F22" s="81" t="s">
        <v>1329</v>
      </c>
      <c r="G22" s="81" t="s">
        <v>1330</v>
      </c>
      <c r="H22" s="64">
        <v>8200</v>
      </c>
      <c r="I22" s="63">
        <v>1</v>
      </c>
      <c r="J22" s="242" t="s">
        <v>1004</v>
      </c>
      <c r="K22" s="223" t="s">
        <v>221</v>
      </c>
      <c r="L22" s="334" t="s">
        <v>2118</v>
      </c>
      <c r="M22" s="250" t="s">
        <v>1120</v>
      </c>
      <c r="N22" s="63">
        <v>1</v>
      </c>
      <c r="O22" s="63">
        <v>1</v>
      </c>
      <c r="P22" s="54">
        <v>0</v>
      </c>
      <c r="Q22" s="63" t="s">
        <v>1371</v>
      </c>
    </row>
    <row r="23" spans="1:18" s="55" customFormat="1" ht="25.5" customHeight="1" x14ac:dyDescent="0.3">
      <c r="A23" s="66">
        <v>20</v>
      </c>
      <c r="B23" s="610"/>
      <c r="C23" s="81" t="s">
        <v>820</v>
      </c>
      <c r="D23" s="63">
        <v>1</v>
      </c>
      <c r="E23" s="81" t="s">
        <v>221</v>
      </c>
      <c r="F23" s="81" t="s">
        <v>1331</v>
      </c>
      <c r="G23" s="81" t="s">
        <v>1332</v>
      </c>
      <c r="H23" s="64">
        <v>9000</v>
      </c>
      <c r="I23" s="63">
        <v>1</v>
      </c>
      <c r="J23" s="242" t="s">
        <v>1004</v>
      </c>
      <c r="K23" s="223">
        <v>3316490667</v>
      </c>
      <c r="L23" s="343" t="s">
        <v>2119</v>
      </c>
      <c r="M23" s="250" t="s">
        <v>1120</v>
      </c>
      <c r="N23" s="63">
        <v>1</v>
      </c>
      <c r="O23" s="63">
        <v>1</v>
      </c>
      <c r="P23" s="54">
        <v>0</v>
      </c>
      <c r="Q23" s="63" t="s">
        <v>1371</v>
      </c>
    </row>
    <row r="24" spans="1:18" s="55" customFormat="1" ht="37.5" x14ac:dyDescent="0.25">
      <c r="A24" s="66">
        <v>21</v>
      </c>
      <c r="B24" s="610"/>
      <c r="C24" s="81" t="s">
        <v>1334</v>
      </c>
      <c r="D24" s="63">
        <v>1</v>
      </c>
      <c r="E24" s="81" t="s">
        <v>221</v>
      </c>
      <c r="F24" s="81" t="s">
        <v>1333</v>
      </c>
      <c r="G24" s="81" t="s">
        <v>221</v>
      </c>
      <c r="H24" s="64">
        <v>2090</v>
      </c>
      <c r="I24" s="63">
        <v>1</v>
      </c>
      <c r="J24" s="242" t="s">
        <v>1004</v>
      </c>
      <c r="K24" s="223" t="s">
        <v>221</v>
      </c>
      <c r="L24" s="342" t="s">
        <v>2120</v>
      </c>
      <c r="M24" s="250" t="s">
        <v>1120</v>
      </c>
      <c r="N24" s="63">
        <v>1</v>
      </c>
      <c r="O24" s="63">
        <v>1</v>
      </c>
      <c r="P24" s="54">
        <v>0</v>
      </c>
      <c r="Q24" s="63" t="s">
        <v>1371</v>
      </c>
    </row>
    <row r="25" spans="1:18" s="55" customFormat="1" ht="25.5" customHeight="1" x14ac:dyDescent="0.3">
      <c r="A25" s="66">
        <v>22</v>
      </c>
      <c r="B25" s="610"/>
      <c r="C25" s="81" t="s">
        <v>820</v>
      </c>
      <c r="D25" s="63">
        <v>1</v>
      </c>
      <c r="E25" s="624" t="s">
        <v>221</v>
      </c>
      <c r="F25" s="624" t="s">
        <v>1335</v>
      </c>
      <c r="G25" s="624" t="s">
        <v>1336</v>
      </c>
      <c r="H25" s="626">
        <v>19034.46</v>
      </c>
      <c r="I25" s="63">
        <v>1</v>
      </c>
      <c r="J25" s="242" t="s">
        <v>1004</v>
      </c>
      <c r="K25" s="223" t="s">
        <v>221</v>
      </c>
      <c r="L25" s="343" t="s">
        <v>2121</v>
      </c>
      <c r="M25" s="250" t="s">
        <v>1120</v>
      </c>
      <c r="N25" s="63">
        <v>1</v>
      </c>
      <c r="O25" s="63">
        <v>1</v>
      </c>
      <c r="P25" s="54">
        <v>0</v>
      </c>
      <c r="Q25" s="63" t="s">
        <v>1371</v>
      </c>
    </row>
    <row r="26" spans="1:18" s="55" customFormat="1" ht="25.5" customHeight="1" x14ac:dyDescent="0.25">
      <c r="A26" s="66">
        <v>23</v>
      </c>
      <c r="B26" s="610"/>
      <c r="C26" s="81" t="s">
        <v>820</v>
      </c>
      <c r="D26" s="63">
        <v>1</v>
      </c>
      <c r="E26" s="624"/>
      <c r="F26" s="624"/>
      <c r="G26" s="624"/>
      <c r="H26" s="626"/>
      <c r="I26" s="63">
        <v>1</v>
      </c>
      <c r="J26" s="242" t="s">
        <v>1004</v>
      </c>
      <c r="K26" s="223" t="s">
        <v>221</v>
      </c>
      <c r="L26" s="334" t="s">
        <v>2122</v>
      </c>
      <c r="M26" s="250" t="s">
        <v>1120</v>
      </c>
      <c r="N26" s="63">
        <v>1</v>
      </c>
      <c r="O26" s="63">
        <v>1</v>
      </c>
      <c r="P26" s="54">
        <v>0</v>
      </c>
      <c r="Q26" s="63" t="s">
        <v>1371</v>
      </c>
    </row>
    <row r="27" spans="1:18" s="55" customFormat="1" ht="25.5" customHeight="1" x14ac:dyDescent="0.3">
      <c r="A27" s="66">
        <v>24</v>
      </c>
      <c r="B27" s="610"/>
      <c r="C27" s="81" t="s">
        <v>820</v>
      </c>
      <c r="D27" s="63">
        <v>1</v>
      </c>
      <c r="E27" s="81" t="s">
        <v>221</v>
      </c>
      <c r="F27" s="81" t="s">
        <v>221</v>
      </c>
      <c r="G27" s="81" t="s">
        <v>221</v>
      </c>
      <c r="H27" s="64" t="s">
        <v>221</v>
      </c>
      <c r="I27" s="63">
        <v>1</v>
      </c>
      <c r="J27" s="242" t="s">
        <v>1004</v>
      </c>
      <c r="K27" s="223" t="s">
        <v>221</v>
      </c>
      <c r="L27" s="343" t="s">
        <v>2123</v>
      </c>
      <c r="M27" s="250" t="s">
        <v>1120</v>
      </c>
      <c r="N27" s="63">
        <v>1</v>
      </c>
      <c r="O27" s="63">
        <v>1</v>
      </c>
      <c r="P27" s="54">
        <v>0</v>
      </c>
      <c r="Q27" s="63" t="s">
        <v>1371</v>
      </c>
    </row>
    <row r="28" spans="1:18" s="55" customFormat="1" ht="25.5" customHeight="1" thickBot="1" x14ac:dyDescent="0.35">
      <c r="A28" s="66">
        <v>25</v>
      </c>
      <c r="B28" s="610"/>
      <c r="C28" s="81" t="s">
        <v>820</v>
      </c>
      <c r="D28" s="63">
        <v>2</v>
      </c>
      <c r="E28" s="81" t="s">
        <v>221</v>
      </c>
      <c r="F28" s="81" t="s">
        <v>221</v>
      </c>
      <c r="G28" s="81" t="s">
        <v>221</v>
      </c>
      <c r="H28" s="64" t="s">
        <v>221</v>
      </c>
      <c r="I28" s="63">
        <v>2</v>
      </c>
      <c r="J28" s="242" t="s">
        <v>1004</v>
      </c>
      <c r="K28" s="223" t="s">
        <v>221</v>
      </c>
      <c r="L28" s="344" t="s">
        <v>2200</v>
      </c>
      <c r="M28" s="250" t="s">
        <v>1120</v>
      </c>
      <c r="N28" s="63">
        <v>2</v>
      </c>
      <c r="O28" s="63">
        <v>2</v>
      </c>
      <c r="P28" s="54">
        <v>0</v>
      </c>
      <c r="Q28" s="63" t="s">
        <v>1371</v>
      </c>
    </row>
    <row r="29" spans="1:18" s="55" customFormat="1" ht="25.5" customHeight="1" thickBot="1" x14ac:dyDescent="0.3">
      <c r="A29" s="66">
        <v>26</v>
      </c>
      <c r="B29" s="589"/>
      <c r="C29" s="81" t="s">
        <v>820</v>
      </c>
      <c r="D29" s="63">
        <v>1</v>
      </c>
      <c r="E29" s="81" t="s">
        <v>221</v>
      </c>
      <c r="F29" s="81" t="s">
        <v>221</v>
      </c>
      <c r="G29" s="81" t="s">
        <v>221</v>
      </c>
      <c r="H29" s="64" t="s">
        <v>221</v>
      </c>
      <c r="I29" s="63">
        <v>1</v>
      </c>
      <c r="J29" s="242" t="s">
        <v>1004</v>
      </c>
      <c r="K29" s="223" t="s">
        <v>221</v>
      </c>
      <c r="L29" s="370" t="s">
        <v>2201</v>
      </c>
      <c r="M29" s="250" t="s">
        <v>1120</v>
      </c>
      <c r="N29" s="63">
        <v>1</v>
      </c>
      <c r="O29" s="63">
        <v>1</v>
      </c>
      <c r="P29" s="54">
        <v>0</v>
      </c>
      <c r="Q29" s="63" t="s">
        <v>1371</v>
      </c>
    </row>
    <row r="30" spans="1:18" s="55" customFormat="1" ht="25.5" customHeight="1" x14ac:dyDescent="0.25">
      <c r="A30" s="66">
        <v>27</v>
      </c>
      <c r="B30" s="621" t="s">
        <v>821</v>
      </c>
      <c r="C30" s="384" t="s">
        <v>821</v>
      </c>
      <c r="D30" s="385">
        <v>1</v>
      </c>
      <c r="E30" s="384" t="s">
        <v>221</v>
      </c>
      <c r="F30" s="384" t="s">
        <v>221</v>
      </c>
      <c r="G30" s="384" t="s">
        <v>221</v>
      </c>
      <c r="H30" s="386" t="s">
        <v>221</v>
      </c>
      <c r="I30" s="385">
        <v>1</v>
      </c>
      <c r="J30" s="218" t="s">
        <v>1004</v>
      </c>
      <c r="K30" s="387" t="s">
        <v>221</v>
      </c>
      <c r="L30" s="395" t="s">
        <v>2321</v>
      </c>
      <c r="M30" s="385" t="s">
        <v>1120</v>
      </c>
      <c r="N30" s="385">
        <v>1</v>
      </c>
      <c r="O30" s="385">
        <v>1</v>
      </c>
      <c r="P30" s="218">
        <v>0</v>
      </c>
      <c r="Q30" s="388" t="s">
        <v>2310</v>
      </c>
    </row>
    <row r="31" spans="1:18" s="55" customFormat="1" ht="25.5" customHeight="1" x14ac:dyDescent="0.25">
      <c r="A31" s="66">
        <v>28</v>
      </c>
      <c r="B31" s="621"/>
      <c r="C31" s="384" t="s">
        <v>821</v>
      </c>
      <c r="D31" s="385">
        <v>1</v>
      </c>
      <c r="E31" s="384" t="s">
        <v>221</v>
      </c>
      <c r="F31" s="384" t="s">
        <v>221</v>
      </c>
      <c r="G31" s="384" t="s">
        <v>221</v>
      </c>
      <c r="H31" s="386" t="s">
        <v>221</v>
      </c>
      <c r="I31" s="385">
        <v>1</v>
      </c>
      <c r="J31" s="218" t="s">
        <v>1004</v>
      </c>
      <c r="K31" s="218" t="s">
        <v>1019</v>
      </c>
      <c r="L31" s="395" t="s">
        <v>2322</v>
      </c>
      <c r="M31" s="385" t="s">
        <v>1120</v>
      </c>
      <c r="N31" s="385">
        <v>1</v>
      </c>
      <c r="O31" s="385">
        <v>1</v>
      </c>
      <c r="P31" s="218">
        <v>0</v>
      </c>
      <c r="Q31" s="388" t="s">
        <v>2310</v>
      </c>
    </row>
    <row r="32" spans="1:18" s="55" customFormat="1" ht="25.5" customHeight="1" x14ac:dyDescent="0.25">
      <c r="A32" s="66">
        <v>29</v>
      </c>
      <c r="B32" s="621"/>
      <c r="C32" s="384" t="s">
        <v>821</v>
      </c>
      <c r="D32" s="385">
        <v>1</v>
      </c>
      <c r="E32" s="384" t="s">
        <v>221</v>
      </c>
      <c r="F32" s="384" t="s">
        <v>221</v>
      </c>
      <c r="G32" s="384" t="s">
        <v>221</v>
      </c>
      <c r="H32" s="386" t="s">
        <v>221</v>
      </c>
      <c r="I32" s="385">
        <v>1</v>
      </c>
      <c r="J32" s="218" t="s">
        <v>1004</v>
      </c>
      <c r="K32" s="385" t="s">
        <v>221</v>
      </c>
      <c r="L32" s="395" t="s">
        <v>2323</v>
      </c>
      <c r="M32" s="385" t="s">
        <v>1120</v>
      </c>
      <c r="N32" s="385">
        <v>1</v>
      </c>
      <c r="O32" s="385">
        <v>1</v>
      </c>
      <c r="P32" s="218">
        <v>0</v>
      </c>
      <c r="Q32" s="388" t="s">
        <v>2310</v>
      </c>
    </row>
    <row r="33" spans="1:18" s="55" customFormat="1" ht="25.5" customHeight="1" x14ac:dyDescent="0.25">
      <c r="A33" s="66">
        <v>30</v>
      </c>
      <c r="B33" s="621"/>
      <c r="C33" s="384" t="s">
        <v>821</v>
      </c>
      <c r="D33" s="385">
        <v>1</v>
      </c>
      <c r="E33" s="384" t="s">
        <v>221</v>
      </c>
      <c r="F33" s="384" t="s">
        <v>221</v>
      </c>
      <c r="G33" s="384" t="s">
        <v>221</v>
      </c>
      <c r="H33" s="386" t="s">
        <v>221</v>
      </c>
      <c r="I33" s="385">
        <v>1</v>
      </c>
      <c r="J33" s="218" t="s">
        <v>1004</v>
      </c>
      <c r="K33" s="385" t="s">
        <v>221</v>
      </c>
      <c r="L33" s="395" t="s">
        <v>2324</v>
      </c>
      <c r="M33" s="385" t="s">
        <v>1120</v>
      </c>
      <c r="N33" s="385">
        <v>1</v>
      </c>
      <c r="O33" s="385">
        <v>1</v>
      </c>
      <c r="P33" s="218">
        <v>0</v>
      </c>
      <c r="Q33" s="388" t="s">
        <v>2310</v>
      </c>
    </row>
    <row r="34" spans="1:18" s="55" customFormat="1" ht="25.5" customHeight="1" x14ac:dyDescent="0.25">
      <c r="A34" s="66">
        <v>31</v>
      </c>
      <c r="B34" s="621"/>
      <c r="C34" s="384" t="s">
        <v>821</v>
      </c>
      <c r="D34" s="385">
        <v>1</v>
      </c>
      <c r="E34" s="384" t="s">
        <v>221</v>
      </c>
      <c r="F34" s="384" t="s">
        <v>221</v>
      </c>
      <c r="G34" s="384" t="s">
        <v>221</v>
      </c>
      <c r="H34" s="386" t="s">
        <v>221</v>
      </c>
      <c r="I34" s="385">
        <v>1</v>
      </c>
      <c r="J34" s="218" t="s">
        <v>1004</v>
      </c>
      <c r="K34" s="385" t="s">
        <v>221</v>
      </c>
      <c r="L34" s="395" t="s">
        <v>2325</v>
      </c>
      <c r="M34" s="385" t="s">
        <v>1120</v>
      </c>
      <c r="N34" s="385">
        <v>1</v>
      </c>
      <c r="O34" s="385">
        <v>1</v>
      </c>
      <c r="P34" s="218">
        <v>0</v>
      </c>
      <c r="Q34" s="388" t="s">
        <v>2310</v>
      </c>
    </row>
    <row r="35" spans="1:18" s="55" customFormat="1" ht="25.5" customHeight="1" x14ac:dyDescent="0.25">
      <c r="A35" s="66">
        <v>32</v>
      </c>
      <c r="B35" s="216" t="s">
        <v>2312</v>
      </c>
      <c r="C35" s="384" t="s">
        <v>822</v>
      </c>
      <c r="D35" s="385">
        <v>1</v>
      </c>
      <c r="E35" s="384" t="s">
        <v>221</v>
      </c>
      <c r="F35" s="384" t="s">
        <v>221</v>
      </c>
      <c r="G35" s="384" t="s">
        <v>221</v>
      </c>
      <c r="H35" s="386" t="s">
        <v>221</v>
      </c>
      <c r="I35" s="385">
        <v>1</v>
      </c>
      <c r="J35" s="218" t="s">
        <v>1004</v>
      </c>
      <c r="K35" s="218" t="s">
        <v>1020</v>
      </c>
      <c r="L35" s="375" t="s">
        <v>2311</v>
      </c>
      <c r="M35" s="385" t="s">
        <v>1120</v>
      </c>
      <c r="N35" s="385">
        <v>1</v>
      </c>
      <c r="O35" s="385">
        <v>1</v>
      </c>
      <c r="P35" s="218">
        <v>0</v>
      </c>
      <c r="Q35" s="385" t="s">
        <v>1371</v>
      </c>
    </row>
    <row r="36" spans="1:18" s="55" customFormat="1" ht="25.5" customHeight="1" x14ac:dyDescent="0.3">
      <c r="A36" s="66">
        <v>33</v>
      </c>
      <c r="B36" s="66"/>
      <c r="C36" s="81" t="s">
        <v>780</v>
      </c>
      <c r="D36" s="63">
        <v>1</v>
      </c>
      <c r="E36" s="81" t="s">
        <v>221</v>
      </c>
      <c r="F36" s="81" t="s">
        <v>221</v>
      </c>
      <c r="G36" s="81" t="s">
        <v>221</v>
      </c>
      <c r="H36" s="64" t="s">
        <v>221</v>
      </c>
      <c r="I36" s="63">
        <v>1</v>
      </c>
      <c r="J36" s="54" t="s">
        <v>1004</v>
      </c>
      <c r="K36" s="136">
        <v>523210903098</v>
      </c>
      <c r="L36" s="392" t="s">
        <v>2313</v>
      </c>
      <c r="M36" s="63" t="s">
        <v>873</v>
      </c>
      <c r="N36" s="63">
        <v>1</v>
      </c>
      <c r="O36" s="63">
        <v>1</v>
      </c>
      <c r="P36" s="54">
        <v>0</v>
      </c>
      <c r="Q36" s="54" t="s">
        <v>1354</v>
      </c>
    </row>
    <row r="37" spans="1:18" s="55" customFormat="1" ht="25.5" customHeight="1" x14ac:dyDescent="0.25">
      <c r="A37" s="66">
        <v>34</v>
      </c>
      <c r="B37" s="66"/>
      <c r="C37" s="81" t="s">
        <v>781</v>
      </c>
      <c r="D37" s="63">
        <v>1</v>
      </c>
      <c r="E37" s="81" t="s">
        <v>221</v>
      </c>
      <c r="F37" s="81" t="s">
        <v>221</v>
      </c>
      <c r="G37" s="81" t="s">
        <v>221</v>
      </c>
      <c r="H37" s="64" t="s">
        <v>221</v>
      </c>
      <c r="I37" s="63">
        <v>1</v>
      </c>
      <c r="J37" s="54" t="s">
        <v>1004</v>
      </c>
      <c r="K37" s="63" t="s">
        <v>221</v>
      </c>
      <c r="L37" s="368" t="s">
        <v>2326</v>
      </c>
      <c r="M37" s="63" t="s">
        <v>873</v>
      </c>
      <c r="N37" s="63">
        <v>1</v>
      </c>
      <c r="O37" s="63">
        <v>1</v>
      </c>
      <c r="P37" s="54">
        <v>0</v>
      </c>
      <c r="Q37" s="54" t="s">
        <v>1354</v>
      </c>
    </row>
    <row r="38" spans="1:18" s="55" customFormat="1" ht="25.5" customHeight="1" x14ac:dyDescent="0.25">
      <c r="A38" s="66">
        <v>35</v>
      </c>
      <c r="B38" s="66"/>
      <c r="C38" s="81" t="s">
        <v>782</v>
      </c>
      <c r="D38" s="63">
        <v>1</v>
      </c>
      <c r="E38" s="81" t="s">
        <v>221</v>
      </c>
      <c r="F38" s="81" t="s">
        <v>221</v>
      </c>
      <c r="G38" s="81" t="s">
        <v>221</v>
      </c>
      <c r="H38" s="64" t="s">
        <v>221</v>
      </c>
      <c r="I38" s="63">
        <v>1</v>
      </c>
      <c r="J38" s="54" t="s">
        <v>1004</v>
      </c>
      <c r="K38" s="63" t="s">
        <v>221</v>
      </c>
      <c r="L38" s="368" t="s">
        <v>2314</v>
      </c>
      <c r="M38" s="63" t="s">
        <v>873</v>
      </c>
      <c r="N38" s="63">
        <v>1</v>
      </c>
      <c r="O38" s="63">
        <v>1</v>
      </c>
      <c r="P38" s="54">
        <v>0</v>
      </c>
      <c r="Q38" s="54" t="s">
        <v>1354</v>
      </c>
    </row>
    <row r="39" spans="1:18" s="55" customFormat="1" ht="25.5" customHeight="1" x14ac:dyDescent="0.25">
      <c r="A39" s="66">
        <v>36</v>
      </c>
      <c r="B39" s="66"/>
      <c r="C39" s="81" t="s">
        <v>1011</v>
      </c>
      <c r="D39" s="54">
        <v>1</v>
      </c>
      <c r="E39" s="81" t="s">
        <v>221</v>
      </c>
      <c r="F39" s="81" t="s">
        <v>221</v>
      </c>
      <c r="G39" s="81" t="s">
        <v>221</v>
      </c>
      <c r="H39" s="64" t="s">
        <v>221</v>
      </c>
      <c r="I39" s="54">
        <v>1</v>
      </c>
      <c r="J39" s="54" t="s">
        <v>1004</v>
      </c>
      <c r="K39" s="63" t="s">
        <v>221</v>
      </c>
      <c r="L39" s="368" t="s">
        <v>2327</v>
      </c>
      <c r="M39" s="63" t="s">
        <v>873</v>
      </c>
      <c r="N39" s="54">
        <v>1</v>
      </c>
      <c r="O39" s="54">
        <v>1</v>
      </c>
      <c r="P39" s="54">
        <v>0</v>
      </c>
      <c r="Q39" s="63" t="s">
        <v>1370</v>
      </c>
    </row>
    <row r="40" spans="1:18" s="55" customFormat="1" ht="55.5" customHeight="1" x14ac:dyDescent="0.3">
      <c r="A40" s="66">
        <v>37</v>
      </c>
      <c r="B40" s="54"/>
      <c r="C40" s="56" t="s">
        <v>911</v>
      </c>
      <c r="D40" s="54">
        <v>20</v>
      </c>
      <c r="E40" s="80" t="s">
        <v>1261</v>
      </c>
      <c r="F40" s="80" t="s">
        <v>1262</v>
      </c>
      <c r="G40" s="80" t="s">
        <v>1263</v>
      </c>
      <c r="H40" s="101">
        <v>95000</v>
      </c>
      <c r="I40" s="54">
        <v>20</v>
      </c>
      <c r="J40" s="54" t="s">
        <v>876</v>
      </c>
      <c r="K40" s="100" t="s">
        <v>221</v>
      </c>
      <c r="L40" s="365" t="s">
        <v>2269</v>
      </c>
      <c r="M40" s="54" t="s">
        <v>868</v>
      </c>
      <c r="N40" s="54">
        <v>20</v>
      </c>
      <c r="O40" s="54">
        <v>20</v>
      </c>
      <c r="P40" s="54">
        <v>0</v>
      </c>
      <c r="Q40" s="63" t="s">
        <v>1370</v>
      </c>
      <c r="R40" s="318"/>
    </row>
    <row r="41" spans="1:18" s="55" customFormat="1" ht="86.25" customHeight="1" x14ac:dyDescent="0.25">
      <c r="A41" s="66">
        <v>38</v>
      </c>
      <c r="B41" s="218"/>
      <c r="C41" s="374" t="s">
        <v>911</v>
      </c>
      <c r="D41" s="218">
        <v>7</v>
      </c>
      <c r="E41" s="376" t="s">
        <v>1285</v>
      </c>
      <c r="F41" s="376" t="s">
        <v>221</v>
      </c>
      <c r="G41" s="376" t="s">
        <v>221</v>
      </c>
      <c r="H41" s="393">
        <v>28413.49</v>
      </c>
      <c r="I41" s="218">
        <v>7</v>
      </c>
      <c r="J41" s="218" t="s">
        <v>876</v>
      </c>
      <c r="K41" s="375" t="s">
        <v>221</v>
      </c>
      <c r="L41" s="394" t="s">
        <v>2270</v>
      </c>
      <c r="M41" s="218" t="s">
        <v>868</v>
      </c>
      <c r="N41" s="218">
        <v>7</v>
      </c>
      <c r="O41" s="218">
        <v>7</v>
      </c>
      <c r="P41" s="218">
        <v>0</v>
      </c>
      <c r="Q41" s="218" t="s">
        <v>881</v>
      </c>
    </row>
    <row r="42" spans="1:18" s="55" customFormat="1" ht="25.5" customHeight="1" x14ac:dyDescent="0.3">
      <c r="A42" s="66">
        <v>39</v>
      </c>
      <c r="B42" s="66"/>
      <c r="C42" s="56" t="s">
        <v>998</v>
      </c>
      <c r="D42" s="54">
        <v>1</v>
      </c>
      <c r="E42" s="80" t="s">
        <v>221</v>
      </c>
      <c r="F42" s="80" t="s">
        <v>221</v>
      </c>
      <c r="G42" s="80" t="s">
        <v>221</v>
      </c>
      <c r="H42" s="101" t="s">
        <v>221</v>
      </c>
      <c r="I42" s="54">
        <v>1</v>
      </c>
      <c r="J42" s="54" t="s">
        <v>876</v>
      </c>
      <c r="K42" s="100" t="s">
        <v>221</v>
      </c>
      <c r="L42" s="344" t="s">
        <v>2268</v>
      </c>
      <c r="M42" s="54" t="s">
        <v>878</v>
      </c>
      <c r="N42" s="54">
        <v>1</v>
      </c>
      <c r="O42" s="54">
        <v>1</v>
      </c>
      <c r="P42" s="54">
        <v>0</v>
      </c>
      <c r="Q42" s="63" t="s">
        <v>1371</v>
      </c>
    </row>
    <row r="43" spans="1:18" s="55" customFormat="1" ht="62.25" customHeight="1" x14ac:dyDescent="0.25">
      <c r="A43" s="66">
        <v>40</v>
      </c>
      <c r="B43" s="66"/>
      <c r="C43" s="56" t="s">
        <v>1000</v>
      </c>
      <c r="D43" s="54">
        <v>4</v>
      </c>
      <c r="E43" s="80" t="s">
        <v>221</v>
      </c>
      <c r="F43" s="80" t="s">
        <v>221</v>
      </c>
      <c r="G43" s="80" t="s">
        <v>221</v>
      </c>
      <c r="H43" s="101" t="s">
        <v>221</v>
      </c>
      <c r="I43" s="54">
        <v>4</v>
      </c>
      <c r="J43" s="54" t="s">
        <v>876</v>
      </c>
      <c r="K43" s="100" t="s">
        <v>221</v>
      </c>
      <c r="L43" s="226" t="s">
        <v>2316</v>
      </c>
      <c r="M43" s="54" t="s">
        <v>878</v>
      </c>
      <c r="N43" s="54">
        <v>4</v>
      </c>
      <c r="O43" s="54">
        <v>4</v>
      </c>
      <c r="P43" s="54">
        <v>0</v>
      </c>
      <c r="Q43" s="63" t="s">
        <v>1371</v>
      </c>
    </row>
    <row r="44" spans="1:18" s="55" customFormat="1" ht="25.5" customHeight="1" x14ac:dyDescent="0.25">
      <c r="A44" s="66">
        <v>41</v>
      </c>
      <c r="B44" s="66"/>
      <c r="C44" s="56" t="s">
        <v>1003</v>
      </c>
      <c r="D44" s="54">
        <v>1</v>
      </c>
      <c r="E44" s="80" t="s">
        <v>221</v>
      </c>
      <c r="F44" s="80" t="s">
        <v>221</v>
      </c>
      <c r="G44" s="80" t="s">
        <v>221</v>
      </c>
      <c r="H44" s="101" t="s">
        <v>221</v>
      </c>
      <c r="I44" s="54">
        <v>1</v>
      </c>
      <c r="J44" s="54" t="s">
        <v>876</v>
      </c>
      <c r="K44" s="100" t="s">
        <v>221</v>
      </c>
      <c r="L44" s="226" t="s">
        <v>2328</v>
      </c>
      <c r="M44" s="54" t="s">
        <v>878</v>
      </c>
      <c r="N44" s="54">
        <v>1</v>
      </c>
      <c r="O44" s="54">
        <v>1</v>
      </c>
      <c r="P44" s="54">
        <v>0</v>
      </c>
      <c r="Q44" s="63" t="s">
        <v>1371</v>
      </c>
    </row>
    <row r="45" spans="1:18" s="55" customFormat="1" ht="25.5" customHeight="1" x14ac:dyDescent="0.25">
      <c r="A45" s="66">
        <v>42</v>
      </c>
      <c r="B45" s="66"/>
      <c r="C45" s="56" t="s">
        <v>1273</v>
      </c>
      <c r="D45" s="54">
        <v>1</v>
      </c>
      <c r="E45" s="80" t="s">
        <v>221</v>
      </c>
      <c r="F45" s="80" t="s">
        <v>221</v>
      </c>
      <c r="G45" s="80" t="s">
        <v>221</v>
      </c>
      <c r="H45" s="101">
        <v>5867084.0599999996</v>
      </c>
      <c r="I45" s="54">
        <v>1</v>
      </c>
      <c r="J45" s="54" t="s">
        <v>876</v>
      </c>
      <c r="K45" s="100" t="s">
        <v>221</v>
      </c>
      <c r="L45" s="226" t="s">
        <v>2318</v>
      </c>
      <c r="M45" s="54" t="s">
        <v>868</v>
      </c>
      <c r="N45" s="54">
        <v>1</v>
      </c>
      <c r="O45" s="54">
        <v>1</v>
      </c>
      <c r="P45" s="54">
        <v>0</v>
      </c>
      <c r="Q45" s="54" t="s">
        <v>881</v>
      </c>
    </row>
    <row r="46" spans="1:18" s="55" customFormat="1" ht="25.5" customHeight="1" x14ac:dyDescent="0.25">
      <c r="A46" s="66">
        <v>43</v>
      </c>
      <c r="B46" s="66"/>
      <c r="C46" s="56" t="s">
        <v>1274</v>
      </c>
      <c r="D46" s="54">
        <v>1</v>
      </c>
      <c r="E46" s="80" t="s">
        <v>221</v>
      </c>
      <c r="F46" s="80" t="s">
        <v>221</v>
      </c>
      <c r="G46" s="80" t="s">
        <v>221</v>
      </c>
      <c r="H46" s="101">
        <v>38880</v>
      </c>
      <c r="I46" s="54">
        <v>1</v>
      </c>
      <c r="J46" s="54" t="s">
        <v>876</v>
      </c>
      <c r="K46" s="100" t="s">
        <v>221</v>
      </c>
      <c r="L46" s="226" t="s">
        <v>2319</v>
      </c>
      <c r="M46" s="54" t="s">
        <v>868</v>
      </c>
      <c r="N46" s="54">
        <v>1</v>
      </c>
      <c r="O46" s="54">
        <v>1</v>
      </c>
      <c r="P46" s="54">
        <v>0</v>
      </c>
      <c r="Q46" s="54" t="s">
        <v>881</v>
      </c>
    </row>
    <row r="47" spans="1:18" s="55" customFormat="1" ht="25.5" customHeight="1" x14ac:dyDescent="0.3">
      <c r="A47" s="66">
        <v>44</v>
      </c>
      <c r="B47" s="66"/>
      <c r="C47" s="81" t="s">
        <v>763</v>
      </c>
      <c r="D47" s="63">
        <v>7</v>
      </c>
      <c r="E47" s="80" t="s">
        <v>221</v>
      </c>
      <c r="F47" s="80" t="s">
        <v>221</v>
      </c>
      <c r="G47" s="80" t="s">
        <v>221</v>
      </c>
      <c r="H47" s="101" t="s">
        <v>221</v>
      </c>
      <c r="I47" s="63">
        <v>7</v>
      </c>
      <c r="J47" s="54" t="s">
        <v>1004</v>
      </c>
      <c r="K47" s="100" t="s">
        <v>221</v>
      </c>
      <c r="L47" s="344" t="s">
        <v>2274</v>
      </c>
      <c r="M47" s="63" t="s">
        <v>873</v>
      </c>
      <c r="N47" s="63">
        <v>7</v>
      </c>
      <c r="O47" s="63">
        <v>7</v>
      </c>
      <c r="P47" s="54">
        <v>0</v>
      </c>
      <c r="Q47" s="63" t="s">
        <v>1371</v>
      </c>
    </row>
    <row r="48" spans="1:18" s="55" customFormat="1" ht="25.5" customHeight="1" x14ac:dyDescent="0.25">
      <c r="A48" s="66">
        <v>45</v>
      </c>
      <c r="B48" s="66"/>
      <c r="C48" s="81" t="s">
        <v>787</v>
      </c>
      <c r="D48" s="63">
        <v>1</v>
      </c>
      <c r="E48" s="80" t="s">
        <v>221</v>
      </c>
      <c r="F48" s="80" t="s">
        <v>221</v>
      </c>
      <c r="G48" s="80" t="s">
        <v>221</v>
      </c>
      <c r="H48" s="101" t="s">
        <v>221</v>
      </c>
      <c r="I48" s="63">
        <v>1</v>
      </c>
      <c r="J48" s="54" t="s">
        <v>1004</v>
      </c>
      <c r="K48" s="100" t="s">
        <v>221</v>
      </c>
      <c r="L48" s="226" t="s">
        <v>2329</v>
      </c>
      <c r="M48" s="63" t="s">
        <v>873</v>
      </c>
      <c r="N48" s="63">
        <v>1</v>
      </c>
      <c r="O48" s="63">
        <v>1</v>
      </c>
      <c r="P48" s="54">
        <v>0</v>
      </c>
      <c r="Q48" s="63" t="s">
        <v>1371</v>
      </c>
    </row>
    <row r="49" spans="1:17" s="55" customFormat="1" ht="216.75" customHeight="1" x14ac:dyDescent="0.25">
      <c r="A49" s="66">
        <v>46</v>
      </c>
      <c r="B49" s="66"/>
      <c r="C49" s="81" t="s">
        <v>767</v>
      </c>
      <c r="D49" s="63">
        <v>29</v>
      </c>
      <c r="E49" s="80" t="s">
        <v>221</v>
      </c>
      <c r="F49" s="80" t="s">
        <v>221</v>
      </c>
      <c r="G49" s="80" t="s">
        <v>221</v>
      </c>
      <c r="H49" s="101" t="s">
        <v>221</v>
      </c>
      <c r="I49" s="63">
        <v>29</v>
      </c>
      <c r="J49" s="54" t="s">
        <v>1004</v>
      </c>
      <c r="K49" s="100" t="s">
        <v>221</v>
      </c>
      <c r="L49" s="226" t="s">
        <v>2275</v>
      </c>
      <c r="M49" s="63" t="s">
        <v>873</v>
      </c>
      <c r="N49" s="63">
        <v>29</v>
      </c>
      <c r="O49" s="63">
        <v>29</v>
      </c>
      <c r="P49" s="54">
        <v>0</v>
      </c>
      <c r="Q49" s="63" t="s">
        <v>1371</v>
      </c>
    </row>
    <row r="50" spans="1:17" s="55" customFormat="1" ht="25.5" customHeight="1" x14ac:dyDescent="0.25">
      <c r="A50" s="66">
        <v>47</v>
      </c>
      <c r="B50" s="66"/>
      <c r="C50" s="81" t="s">
        <v>789</v>
      </c>
      <c r="D50" s="63">
        <v>1</v>
      </c>
      <c r="E50" s="81"/>
      <c r="F50" s="80" t="s">
        <v>221</v>
      </c>
      <c r="G50" s="80" t="s">
        <v>221</v>
      </c>
      <c r="H50" s="100" t="s">
        <v>221</v>
      </c>
      <c r="I50" s="63">
        <v>1</v>
      </c>
      <c r="J50" s="54" t="s">
        <v>1004</v>
      </c>
      <c r="K50" s="100" t="s">
        <v>221</v>
      </c>
      <c r="L50" s="226" t="s">
        <v>2330</v>
      </c>
      <c r="M50" s="63" t="s">
        <v>873</v>
      </c>
      <c r="N50" s="63">
        <v>1</v>
      </c>
      <c r="O50" s="63">
        <v>1</v>
      </c>
      <c r="P50" s="54">
        <v>0</v>
      </c>
      <c r="Q50" s="63" t="s">
        <v>1371</v>
      </c>
    </row>
    <row r="51" spans="1:17" s="55" customFormat="1" ht="69.75" customHeight="1" x14ac:dyDescent="0.25">
      <c r="A51" s="66">
        <v>48</v>
      </c>
      <c r="B51" s="66"/>
      <c r="C51" s="81" t="s">
        <v>772</v>
      </c>
      <c r="D51" s="63">
        <v>1</v>
      </c>
      <c r="E51" s="80" t="s">
        <v>221</v>
      </c>
      <c r="F51" s="80" t="s">
        <v>221</v>
      </c>
      <c r="G51" s="80" t="s">
        <v>221</v>
      </c>
      <c r="H51" s="101" t="s">
        <v>221</v>
      </c>
      <c r="I51" s="63">
        <v>1</v>
      </c>
      <c r="J51" s="54" t="s">
        <v>1004</v>
      </c>
      <c r="K51" s="100" t="s">
        <v>221</v>
      </c>
      <c r="L51" s="371" t="s">
        <v>2127</v>
      </c>
      <c r="M51" s="63" t="s">
        <v>873</v>
      </c>
      <c r="N51" s="63">
        <v>1</v>
      </c>
      <c r="O51" s="63">
        <v>1</v>
      </c>
      <c r="P51" s="54">
        <v>0</v>
      </c>
      <c r="Q51" s="63" t="s">
        <v>1371</v>
      </c>
    </row>
    <row r="52" spans="1:17" s="55" customFormat="1" ht="25.5" customHeight="1" x14ac:dyDescent="0.25">
      <c r="A52" s="66">
        <v>49</v>
      </c>
      <c r="B52" s="66"/>
      <c r="C52" s="81" t="s">
        <v>773</v>
      </c>
      <c r="D52" s="63">
        <v>1</v>
      </c>
      <c r="E52" s="80" t="s">
        <v>221</v>
      </c>
      <c r="F52" s="80" t="s">
        <v>221</v>
      </c>
      <c r="G52" s="80" t="s">
        <v>221</v>
      </c>
      <c r="H52" s="101" t="s">
        <v>221</v>
      </c>
      <c r="I52" s="63">
        <v>1</v>
      </c>
      <c r="J52" s="54" t="s">
        <v>1004</v>
      </c>
      <c r="K52" s="100" t="s">
        <v>221</v>
      </c>
      <c r="L52" s="226" t="s">
        <v>2331</v>
      </c>
      <c r="M52" s="63" t="s">
        <v>873</v>
      </c>
      <c r="N52" s="63">
        <v>1</v>
      </c>
      <c r="O52" s="63">
        <v>1</v>
      </c>
      <c r="P52" s="54">
        <v>0</v>
      </c>
      <c r="Q52" s="63" t="s">
        <v>1371</v>
      </c>
    </row>
    <row r="53" spans="1:17" s="55" customFormat="1" ht="25.5" customHeight="1" x14ac:dyDescent="0.25">
      <c r="A53" s="66">
        <v>50</v>
      </c>
      <c r="B53" s="66"/>
      <c r="C53" s="81" t="s">
        <v>774</v>
      </c>
      <c r="D53" s="63">
        <v>7</v>
      </c>
      <c r="E53" s="80" t="s">
        <v>221</v>
      </c>
      <c r="F53" s="80" t="s">
        <v>221</v>
      </c>
      <c r="G53" s="80" t="s">
        <v>221</v>
      </c>
      <c r="H53" s="101" t="s">
        <v>221</v>
      </c>
      <c r="I53" s="63">
        <v>7</v>
      </c>
      <c r="J53" s="54" t="s">
        <v>1004</v>
      </c>
      <c r="K53" s="100" t="s">
        <v>221</v>
      </c>
      <c r="L53" s="226" t="s">
        <v>2332</v>
      </c>
      <c r="M53" s="63" t="s">
        <v>873</v>
      </c>
      <c r="N53" s="63">
        <v>7</v>
      </c>
      <c r="O53" s="63">
        <v>7</v>
      </c>
      <c r="P53" s="54">
        <v>0</v>
      </c>
      <c r="Q53" s="63" t="s">
        <v>1371</v>
      </c>
    </row>
    <row r="54" spans="1:17" s="55" customFormat="1" ht="25.5" customHeight="1" x14ac:dyDescent="0.25">
      <c r="A54" s="66">
        <v>51</v>
      </c>
      <c r="B54" s="66"/>
      <c r="C54" s="81" t="s">
        <v>775</v>
      </c>
      <c r="D54" s="63">
        <v>1</v>
      </c>
      <c r="E54" s="80" t="s">
        <v>221</v>
      </c>
      <c r="F54" s="80" t="s">
        <v>221</v>
      </c>
      <c r="G54" s="80" t="s">
        <v>221</v>
      </c>
      <c r="H54" s="101" t="s">
        <v>221</v>
      </c>
      <c r="I54" s="63">
        <v>1</v>
      </c>
      <c r="J54" s="54" t="s">
        <v>1004</v>
      </c>
      <c r="K54" s="100" t="s">
        <v>221</v>
      </c>
      <c r="L54" s="226" t="s">
        <v>2333</v>
      </c>
      <c r="M54" s="63" t="s">
        <v>873</v>
      </c>
      <c r="N54" s="63">
        <v>1</v>
      </c>
      <c r="O54" s="63">
        <v>1</v>
      </c>
      <c r="P54" s="54">
        <v>0</v>
      </c>
      <c r="Q54" s="63" t="s">
        <v>1371</v>
      </c>
    </row>
    <row r="55" spans="1:17" s="55" customFormat="1" ht="25.5" customHeight="1" x14ac:dyDescent="0.25">
      <c r="A55" s="66">
        <v>52</v>
      </c>
      <c r="B55" s="66"/>
      <c r="C55" s="81" t="s">
        <v>765</v>
      </c>
      <c r="D55" s="63">
        <v>1</v>
      </c>
      <c r="E55" s="80" t="s">
        <v>221</v>
      </c>
      <c r="F55" s="80" t="s">
        <v>221</v>
      </c>
      <c r="G55" s="80" t="s">
        <v>221</v>
      </c>
      <c r="H55" s="101" t="s">
        <v>221</v>
      </c>
      <c r="I55" s="63">
        <v>1</v>
      </c>
      <c r="J55" s="54" t="s">
        <v>1004</v>
      </c>
      <c r="K55" s="100" t="s">
        <v>221</v>
      </c>
      <c r="L55" s="226" t="s">
        <v>2334</v>
      </c>
      <c r="M55" s="63" t="s">
        <v>873</v>
      </c>
      <c r="N55" s="63">
        <v>1</v>
      </c>
      <c r="O55" s="63">
        <v>1</v>
      </c>
      <c r="P55" s="54">
        <v>0</v>
      </c>
      <c r="Q55" s="63" t="s">
        <v>1371</v>
      </c>
    </row>
    <row r="56" spans="1:17" s="55" customFormat="1" ht="37.5" x14ac:dyDescent="0.25">
      <c r="A56" s="66">
        <v>53</v>
      </c>
      <c r="B56" s="66"/>
      <c r="C56" s="81" t="s">
        <v>777</v>
      </c>
      <c r="D56" s="63">
        <v>1</v>
      </c>
      <c r="E56" s="80" t="s">
        <v>221</v>
      </c>
      <c r="F56" s="80" t="s">
        <v>221</v>
      </c>
      <c r="G56" s="80" t="s">
        <v>221</v>
      </c>
      <c r="H56" s="101" t="s">
        <v>221</v>
      </c>
      <c r="I56" s="63">
        <v>1</v>
      </c>
      <c r="J56" s="54" t="s">
        <v>1004</v>
      </c>
      <c r="K56" s="100" t="s">
        <v>221</v>
      </c>
      <c r="L56" s="226" t="s">
        <v>2335</v>
      </c>
      <c r="M56" s="63" t="s">
        <v>873</v>
      </c>
      <c r="N56" s="63">
        <v>1</v>
      </c>
      <c r="O56" s="63">
        <v>1</v>
      </c>
      <c r="P56" s="54">
        <v>0</v>
      </c>
      <c r="Q56" s="63" t="s">
        <v>1371</v>
      </c>
    </row>
    <row r="57" spans="1:17" s="55" customFormat="1" ht="37.5" x14ac:dyDescent="0.25">
      <c r="A57" s="66">
        <v>54</v>
      </c>
      <c r="B57" s="66"/>
      <c r="C57" s="81" t="s">
        <v>1012</v>
      </c>
      <c r="D57" s="54">
        <v>1</v>
      </c>
      <c r="E57" s="80" t="s">
        <v>221</v>
      </c>
      <c r="F57" s="80" t="s">
        <v>221</v>
      </c>
      <c r="G57" s="80" t="s">
        <v>221</v>
      </c>
      <c r="H57" s="101" t="s">
        <v>221</v>
      </c>
      <c r="I57" s="54">
        <v>1</v>
      </c>
      <c r="J57" s="54" t="s">
        <v>1004</v>
      </c>
      <c r="K57" s="100" t="s">
        <v>221</v>
      </c>
      <c r="L57" s="226" t="s">
        <v>2336</v>
      </c>
      <c r="M57" s="63" t="s">
        <v>873</v>
      </c>
      <c r="N57" s="54">
        <v>1</v>
      </c>
      <c r="O57" s="54">
        <v>1</v>
      </c>
      <c r="P57" s="54">
        <v>0</v>
      </c>
      <c r="Q57" s="63" t="s">
        <v>1371</v>
      </c>
    </row>
    <row r="58" spans="1:17" s="55" customFormat="1" ht="25.5" customHeight="1" x14ac:dyDescent="0.25">
      <c r="A58" s="66">
        <v>55</v>
      </c>
      <c r="B58" s="66"/>
      <c r="C58" s="81" t="s">
        <v>1325</v>
      </c>
      <c r="D58" s="54">
        <v>1</v>
      </c>
      <c r="E58" s="80" t="s">
        <v>221</v>
      </c>
      <c r="F58" s="80" t="s">
        <v>221</v>
      </c>
      <c r="G58" s="80" t="s">
        <v>221</v>
      </c>
      <c r="H58" s="101" t="s">
        <v>221</v>
      </c>
      <c r="I58" s="54">
        <v>1</v>
      </c>
      <c r="J58" s="54" t="s">
        <v>1004</v>
      </c>
      <c r="K58" s="100" t="s">
        <v>221</v>
      </c>
      <c r="L58" s="226" t="s">
        <v>2337</v>
      </c>
      <c r="M58" s="54" t="s">
        <v>1013</v>
      </c>
      <c r="N58" s="54">
        <v>1</v>
      </c>
      <c r="O58" s="54">
        <v>1</v>
      </c>
      <c r="P58" s="54">
        <v>0</v>
      </c>
      <c r="Q58" s="63" t="s">
        <v>1371</v>
      </c>
    </row>
    <row r="59" spans="1:17" s="55" customFormat="1" ht="25.5" customHeight="1" x14ac:dyDescent="0.25">
      <c r="A59" s="66">
        <v>56</v>
      </c>
      <c r="B59" s="66"/>
      <c r="C59" s="81" t="s">
        <v>1274</v>
      </c>
      <c r="D59" s="54">
        <v>1</v>
      </c>
      <c r="E59" s="80" t="s">
        <v>221</v>
      </c>
      <c r="F59" s="80" t="s">
        <v>221</v>
      </c>
      <c r="G59" s="80" t="s">
        <v>221</v>
      </c>
      <c r="H59" s="101">
        <v>38880</v>
      </c>
      <c r="I59" s="54">
        <v>1</v>
      </c>
      <c r="J59" s="54" t="s">
        <v>1004</v>
      </c>
      <c r="K59" s="54" t="s">
        <v>221</v>
      </c>
      <c r="L59" s="226" t="s">
        <v>2317</v>
      </c>
      <c r="M59" s="54" t="s">
        <v>1275</v>
      </c>
      <c r="N59" s="54">
        <v>1</v>
      </c>
      <c r="O59" s="54">
        <v>1</v>
      </c>
      <c r="P59" s="54">
        <v>0</v>
      </c>
      <c r="Q59" s="54" t="s">
        <v>881</v>
      </c>
    </row>
    <row r="60" spans="1:17" s="55" customFormat="1" ht="25.5" customHeight="1" x14ac:dyDescent="0.25">
      <c r="A60" s="66">
        <v>57</v>
      </c>
      <c r="B60" s="54"/>
      <c r="C60" s="56" t="s">
        <v>909</v>
      </c>
      <c r="D60" s="54">
        <v>1</v>
      </c>
      <c r="E60" s="80" t="s">
        <v>221</v>
      </c>
      <c r="F60" s="80" t="s">
        <v>221</v>
      </c>
      <c r="G60" s="80" t="s">
        <v>221</v>
      </c>
      <c r="H60" s="101" t="s">
        <v>221</v>
      </c>
      <c r="I60" s="54">
        <v>1</v>
      </c>
      <c r="J60" s="54" t="s">
        <v>876</v>
      </c>
      <c r="K60" s="100" t="s">
        <v>221</v>
      </c>
      <c r="L60" s="226" t="s">
        <v>2338</v>
      </c>
      <c r="M60" s="54" t="s">
        <v>878</v>
      </c>
      <c r="N60" s="54">
        <v>1</v>
      </c>
      <c r="O60" s="54">
        <v>1</v>
      </c>
      <c r="P60" s="54">
        <v>0</v>
      </c>
      <c r="Q60" s="63" t="s">
        <v>1371</v>
      </c>
    </row>
    <row r="61" spans="1:17" s="55" customFormat="1" ht="25.5" customHeight="1" x14ac:dyDescent="0.25">
      <c r="A61" s="66">
        <v>58</v>
      </c>
      <c r="B61" s="54"/>
      <c r="C61" s="56" t="s">
        <v>904</v>
      </c>
      <c r="D61" s="54">
        <v>1</v>
      </c>
      <c r="E61" s="80" t="s">
        <v>221</v>
      </c>
      <c r="F61" s="80" t="s">
        <v>221</v>
      </c>
      <c r="G61" s="80" t="s">
        <v>221</v>
      </c>
      <c r="H61" s="101" t="s">
        <v>221</v>
      </c>
      <c r="I61" s="54">
        <v>1</v>
      </c>
      <c r="J61" s="54" t="s">
        <v>876</v>
      </c>
      <c r="K61" s="54" t="s">
        <v>905</v>
      </c>
      <c r="L61" s="226" t="s">
        <v>2339</v>
      </c>
      <c r="M61" s="54" t="s">
        <v>855</v>
      </c>
      <c r="N61" s="54">
        <v>1</v>
      </c>
      <c r="O61" s="54">
        <v>1</v>
      </c>
      <c r="P61" s="54">
        <v>0</v>
      </c>
      <c r="Q61" s="63" t="s">
        <v>1371</v>
      </c>
    </row>
    <row r="62" spans="1:17" s="55" customFormat="1" ht="37.5" x14ac:dyDescent="0.25">
      <c r="A62" s="66">
        <v>59</v>
      </c>
      <c r="B62" s="54"/>
      <c r="C62" s="374" t="s">
        <v>901</v>
      </c>
      <c r="D62" s="218">
        <v>2</v>
      </c>
      <c r="E62" s="376" t="s">
        <v>221</v>
      </c>
      <c r="F62" s="376" t="s">
        <v>221</v>
      </c>
      <c r="G62" s="376" t="s">
        <v>221</v>
      </c>
      <c r="H62" s="393" t="s">
        <v>221</v>
      </c>
      <c r="I62" s="218">
        <v>2</v>
      </c>
      <c r="J62" s="218" t="s">
        <v>876</v>
      </c>
      <c r="K62" s="218" t="s">
        <v>221</v>
      </c>
      <c r="L62" s="375" t="s">
        <v>2340</v>
      </c>
      <c r="M62" s="218" t="s">
        <v>855</v>
      </c>
      <c r="N62" s="218">
        <v>2</v>
      </c>
      <c r="O62" s="218">
        <v>2</v>
      </c>
      <c r="P62" s="218">
        <v>0</v>
      </c>
      <c r="Q62" s="218" t="s">
        <v>1343</v>
      </c>
    </row>
    <row r="63" spans="1:17" s="55" customFormat="1" ht="37.5" x14ac:dyDescent="0.25">
      <c r="A63" s="66">
        <v>60</v>
      </c>
      <c r="B63" s="54"/>
      <c r="C63" s="374" t="s">
        <v>902</v>
      </c>
      <c r="D63" s="218">
        <v>1</v>
      </c>
      <c r="E63" s="376" t="s">
        <v>221</v>
      </c>
      <c r="F63" s="376" t="s">
        <v>221</v>
      </c>
      <c r="G63" s="376" t="s">
        <v>221</v>
      </c>
      <c r="H63" s="393" t="s">
        <v>221</v>
      </c>
      <c r="I63" s="218">
        <v>1</v>
      </c>
      <c r="J63" s="218" t="s">
        <v>876</v>
      </c>
      <c r="K63" s="218" t="s">
        <v>221</v>
      </c>
      <c r="L63" s="375" t="s">
        <v>2341</v>
      </c>
      <c r="M63" s="218" t="s">
        <v>855</v>
      </c>
      <c r="N63" s="218">
        <v>1</v>
      </c>
      <c r="O63" s="218">
        <v>1</v>
      </c>
      <c r="P63" s="218">
        <v>0</v>
      </c>
      <c r="Q63" s="218" t="s">
        <v>1343</v>
      </c>
    </row>
    <row r="64" spans="1:17" s="55" customFormat="1" ht="25.5" customHeight="1" x14ac:dyDescent="0.25">
      <c r="A64" s="66">
        <v>61</v>
      </c>
      <c r="B64" s="54"/>
      <c r="C64" s="56" t="s">
        <v>1318</v>
      </c>
      <c r="D64" s="54">
        <v>1</v>
      </c>
      <c r="E64" s="80" t="s">
        <v>221</v>
      </c>
      <c r="F64" s="80" t="s">
        <v>221</v>
      </c>
      <c r="G64" s="80" t="s">
        <v>221</v>
      </c>
      <c r="H64" s="101" t="s">
        <v>221</v>
      </c>
      <c r="I64" s="54">
        <v>1</v>
      </c>
      <c r="J64" s="54" t="s">
        <v>876</v>
      </c>
      <c r="K64" s="100" t="s">
        <v>221</v>
      </c>
      <c r="L64" s="226" t="s">
        <v>2342</v>
      </c>
      <c r="M64" s="54" t="s">
        <v>873</v>
      </c>
      <c r="N64" s="54">
        <v>1</v>
      </c>
      <c r="O64" s="54">
        <v>1</v>
      </c>
      <c r="P64" s="54">
        <v>0</v>
      </c>
      <c r="Q64" s="63" t="s">
        <v>1371</v>
      </c>
    </row>
    <row r="65" spans="1:19" s="55" customFormat="1" ht="60" customHeight="1" x14ac:dyDescent="0.25">
      <c r="A65" s="66">
        <v>62</v>
      </c>
      <c r="B65" s="65"/>
      <c r="C65" s="56" t="s">
        <v>946</v>
      </c>
      <c r="D65" s="54">
        <v>3</v>
      </c>
      <c r="E65" s="56" t="s">
        <v>1166</v>
      </c>
      <c r="F65" s="56" t="s">
        <v>1167</v>
      </c>
      <c r="G65" s="56" t="s">
        <v>221</v>
      </c>
      <c r="H65" s="62">
        <v>9270</v>
      </c>
      <c r="I65" s="54">
        <v>3</v>
      </c>
      <c r="J65" s="54" t="s">
        <v>876</v>
      </c>
      <c r="K65" s="54" t="s">
        <v>221</v>
      </c>
      <c r="L65" s="226" t="s">
        <v>2343</v>
      </c>
      <c r="M65" s="54" t="s">
        <v>868</v>
      </c>
      <c r="N65" s="54">
        <v>3</v>
      </c>
      <c r="O65" s="54">
        <v>3</v>
      </c>
      <c r="P65" s="54">
        <v>0</v>
      </c>
      <c r="Q65" s="54" t="s">
        <v>881</v>
      </c>
    </row>
    <row r="66" spans="1:19" s="55" customFormat="1" ht="25.5" customHeight="1" x14ac:dyDescent="0.25">
      <c r="A66" s="66">
        <v>63</v>
      </c>
      <c r="B66" s="618" t="s">
        <v>228</v>
      </c>
      <c r="C66" s="44" t="s">
        <v>228</v>
      </c>
      <c r="D66" s="623">
        <v>2</v>
      </c>
      <c r="E66" s="619" t="s">
        <v>1033</v>
      </c>
      <c r="F66" s="620" t="s">
        <v>1096</v>
      </c>
      <c r="G66" s="622" t="s">
        <v>1097</v>
      </c>
      <c r="H66" s="67">
        <v>447922</v>
      </c>
      <c r="I66" s="54">
        <v>1</v>
      </c>
      <c r="J66" s="54" t="s">
        <v>850</v>
      </c>
      <c r="K66" s="242" t="s">
        <v>862</v>
      </c>
      <c r="L66" s="334" t="s">
        <v>2113</v>
      </c>
      <c r="M66" s="237" t="s">
        <v>970</v>
      </c>
      <c r="N66" s="54">
        <v>1</v>
      </c>
      <c r="O66" s="54">
        <v>1</v>
      </c>
      <c r="P66" s="54">
        <v>0</v>
      </c>
      <c r="Q66" s="63" t="s">
        <v>1371</v>
      </c>
      <c r="R66" s="68"/>
      <c r="S66" s="68"/>
    </row>
    <row r="67" spans="1:19" s="55" customFormat="1" ht="25.5" customHeight="1" x14ac:dyDescent="0.25">
      <c r="A67" s="66">
        <v>64</v>
      </c>
      <c r="B67" s="618"/>
      <c r="C67" s="44" t="s">
        <v>228</v>
      </c>
      <c r="D67" s="623"/>
      <c r="E67" s="619"/>
      <c r="F67" s="620"/>
      <c r="G67" s="622"/>
      <c r="H67" s="67">
        <v>368998.25</v>
      </c>
      <c r="I67" s="54">
        <v>1</v>
      </c>
      <c r="J67" s="54" t="s">
        <v>850</v>
      </c>
      <c r="K67" s="242" t="s">
        <v>863</v>
      </c>
      <c r="L67" s="334" t="s">
        <v>2112</v>
      </c>
      <c r="M67" s="237" t="s">
        <v>970</v>
      </c>
      <c r="N67" s="54">
        <v>1</v>
      </c>
      <c r="O67" s="54">
        <v>1</v>
      </c>
      <c r="P67" s="54">
        <v>0</v>
      </c>
      <c r="Q67" s="63" t="s">
        <v>1371</v>
      </c>
      <c r="R67" s="68"/>
      <c r="S67" s="68"/>
    </row>
    <row r="68" spans="1:19" s="55" customFormat="1" ht="37.5" x14ac:dyDescent="0.25">
      <c r="A68" s="66">
        <v>65</v>
      </c>
      <c r="B68" s="74" t="s">
        <v>230</v>
      </c>
      <c r="C68" s="56" t="s">
        <v>981</v>
      </c>
      <c r="D68" s="54">
        <v>1</v>
      </c>
      <c r="E68" s="82" t="s">
        <v>1034</v>
      </c>
      <c r="F68" s="56" t="s">
        <v>221</v>
      </c>
      <c r="G68" s="56" t="s">
        <v>221</v>
      </c>
      <c r="H68" s="67">
        <v>9300</v>
      </c>
      <c r="I68" s="54">
        <v>1</v>
      </c>
      <c r="J68" s="54" t="s">
        <v>850</v>
      </c>
      <c r="K68" s="242" t="s">
        <v>982</v>
      </c>
      <c r="L68" s="334" t="s">
        <v>2111</v>
      </c>
      <c r="M68" s="237" t="s">
        <v>970</v>
      </c>
      <c r="N68" s="54">
        <v>1</v>
      </c>
      <c r="O68" s="54">
        <v>1</v>
      </c>
      <c r="P68" s="54">
        <v>0</v>
      </c>
      <c r="Q68" s="63" t="s">
        <v>1371</v>
      </c>
      <c r="R68" s="68"/>
      <c r="S68" s="68"/>
    </row>
    <row r="69" spans="1:19" s="68" customFormat="1" ht="37.5" x14ac:dyDescent="0.25">
      <c r="A69" s="66">
        <v>66</v>
      </c>
      <c r="B69" s="617" t="s">
        <v>1362</v>
      </c>
      <c r="C69" s="56" t="s">
        <v>973</v>
      </c>
      <c r="D69" s="54">
        <v>1</v>
      </c>
      <c r="E69" s="56" t="s">
        <v>1032</v>
      </c>
      <c r="F69" s="56" t="s">
        <v>1053</v>
      </c>
      <c r="G69" s="56" t="s">
        <v>1054</v>
      </c>
      <c r="H69" s="67">
        <v>9505.08</v>
      </c>
      <c r="I69" s="54">
        <v>1</v>
      </c>
      <c r="J69" s="54" t="s">
        <v>850</v>
      </c>
      <c r="K69" s="242" t="s">
        <v>972</v>
      </c>
      <c r="L69" s="342" t="s">
        <v>2110</v>
      </c>
      <c r="M69" s="237" t="s">
        <v>868</v>
      </c>
      <c r="N69" s="54">
        <v>1</v>
      </c>
      <c r="O69" s="54">
        <v>1</v>
      </c>
      <c r="P69" s="54">
        <v>0</v>
      </c>
      <c r="Q69" s="63" t="s">
        <v>1371</v>
      </c>
    </row>
    <row r="70" spans="1:19" s="68" customFormat="1" ht="37.5" x14ac:dyDescent="0.25">
      <c r="A70" s="66">
        <v>67</v>
      </c>
      <c r="B70" s="617"/>
      <c r="C70" s="70" t="s">
        <v>1151</v>
      </c>
      <c r="D70" s="54">
        <v>1</v>
      </c>
      <c r="E70" s="56" t="s">
        <v>1322</v>
      </c>
      <c r="F70" s="56" t="s">
        <v>1319</v>
      </c>
      <c r="G70" s="70" t="s">
        <v>1320</v>
      </c>
      <c r="H70" s="114">
        <v>13653</v>
      </c>
      <c r="I70" s="54">
        <v>1</v>
      </c>
      <c r="J70" s="54" t="s">
        <v>850</v>
      </c>
      <c r="K70" s="242" t="s">
        <v>1152</v>
      </c>
      <c r="L70" s="334" t="s">
        <v>2109</v>
      </c>
      <c r="M70" s="237" t="s">
        <v>868</v>
      </c>
      <c r="N70" s="54">
        <v>1</v>
      </c>
      <c r="O70" s="54">
        <v>1</v>
      </c>
      <c r="P70" s="54">
        <v>0</v>
      </c>
      <c r="Q70" s="63" t="s">
        <v>1371</v>
      </c>
    </row>
    <row r="71" spans="1:19" s="68" customFormat="1" ht="37.5" x14ac:dyDescent="0.2">
      <c r="A71" s="66">
        <v>68</v>
      </c>
      <c r="B71" s="617"/>
      <c r="C71" s="70" t="s">
        <v>1048</v>
      </c>
      <c r="D71" s="54">
        <v>1</v>
      </c>
      <c r="E71" s="56" t="s">
        <v>53</v>
      </c>
      <c r="F71" s="56" t="s">
        <v>54</v>
      </c>
      <c r="G71" s="56" t="s">
        <v>118</v>
      </c>
      <c r="H71" s="67">
        <v>5710</v>
      </c>
      <c r="I71" s="54">
        <v>1</v>
      </c>
      <c r="J71" s="54" t="s">
        <v>853</v>
      </c>
      <c r="K71" s="232" t="s">
        <v>2115</v>
      </c>
      <c r="L71" s="352" t="s">
        <v>2114</v>
      </c>
      <c r="M71" s="316" t="s">
        <v>868</v>
      </c>
      <c r="N71" s="54">
        <v>1</v>
      </c>
      <c r="O71" s="54">
        <v>1</v>
      </c>
      <c r="P71" s="54">
        <v>0</v>
      </c>
      <c r="Q71" s="54" t="s">
        <v>869</v>
      </c>
    </row>
    <row r="72" spans="1:19" s="72" customFormat="1" ht="37.5" x14ac:dyDescent="0.25">
      <c r="A72" s="66">
        <v>69</v>
      </c>
      <c r="B72" s="617"/>
      <c r="C72" s="44" t="s">
        <v>55</v>
      </c>
      <c r="D72" s="54">
        <v>1</v>
      </c>
      <c r="E72" s="56" t="s">
        <v>61</v>
      </c>
      <c r="F72" s="56" t="s">
        <v>62</v>
      </c>
      <c r="G72" s="56" t="s">
        <v>122</v>
      </c>
      <c r="H72" s="67">
        <v>8650</v>
      </c>
      <c r="I72" s="54">
        <v>1</v>
      </c>
      <c r="J72" s="54" t="s">
        <v>850</v>
      </c>
      <c r="K72" s="54" t="s">
        <v>1052</v>
      </c>
      <c r="L72" s="371" t="s">
        <v>2108</v>
      </c>
      <c r="M72" s="54" t="s">
        <v>970</v>
      </c>
      <c r="N72" s="54">
        <v>1</v>
      </c>
      <c r="O72" s="54">
        <v>1</v>
      </c>
      <c r="P72" s="54">
        <v>0</v>
      </c>
      <c r="Q72" s="63" t="s">
        <v>1371</v>
      </c>
    </row>
    <row r="73" spans="1:19" s="55" customFormat="1" ht="37.5" x14ac:dyDescent="0.25">
      <c r="A73" s="66">
        <v>70</v>
      </c>
      <c r="B73" s="73" t="s">
        <v>677</v>
      </c>
      <c r="C73" s="56" t="s">
        <v>1089</v>
      </c>
      <c r="D73" s="54">
        <v>1</v>
      </c>
      <c r="E73" s="56" t="s">
        <v>1090</v>
      </c>
      <c r="F73" s="56" t="s">
        <v>1091</v>
      </c>
      <c r="G73" s="56" t="s">
        <v>1092</v>
      </c>
      <c r="H73" s="57">
        <v>52500</v>
      </c>
      <c r="I73" s="54">
        <v>1</v>
      </c>
      <c r="J73" s="54" t="s">
        <v>850</v>
      </c>
      <c r="K73" s="54" t="s">
        <v>1088</v>
      </c>
      <c r="L73" s="371" t="s">
        <v>2107</v>
      </c>
      <c r="M73" s="89" t="s">
        <v>868</v>
      </c>
      <c r="N73" s="54">
        <v>1</v>
      </c>
      <c r="O73" s="54">
        <v>1</v>
      </c>
      <c r="P73" s="54">
        <v>0</v>
      </c>
      <c r="Q73" s="63" t="s">
        <v>1371</v>
      </c>
    </row>
    <row r="74" spans="1:19" s="55" customFormat="1" ht="37.5" x14ac:dyDescent="0.25">
      <c r="A74" s="66">
        <v>71</v>
      </c>
      <c r="B74" s="616" t="s">
        <v>1362</v>
      </c>
      <c r="C74" s="56" t="s">
        <v>975</v>
      </c>
      <c r="D74" s="54">
        <v>1</v>
      </c>
      <c r="E74" s="56" t="s">
        <v>1045</v>
      </c>
      <c r="F74" s="56" t="s">
        <v>1046</v>
      </c>
      <c r="G74" s="56" t="s">
        <v>1047</v>
      </c>
      <c r="H74" s="57">
        <v>12250</v>
      </c>
      <c r="I74" s="54">
        <v>1</v>
      </c>
      <c r="J74" s="54" t="s">
        <v>850</v>
      </c>
      <c r="K74" s="54" t="s">
        <v>976</v>
      </c>
      <c r="L74" s="226" t="s">
        <v>2260</v>
      </c>
      <c r="M74" s="54" t="s">
        <v>970</v>
      </c>
      <c r="N74" s="54">
        <v>1</v>
      </c>
      <c r="O74" s="54">
        <v>1</v>
      </c>
      <c r="P74" s="54">
        <v>0</v>
      </c>
      <c r="Q74" s="63" t="s">
        <v>1371</v>
      </c>
    </row>
    <row r="75" spans="1:19" s="55" customFormat="1" ht="37.5" x14ac:dyDescent="0.25">
      <c r="A75" s="66">
        <v>72</v>
      </c>
      <c r="B75" s="616"/>
      <c r="C75" s="56" t="s">
        <v>977</v>
      </c>
      <c r="D75" s="54">
        <v>1</v>
      </c>
      <c r="E75" s="82" t="s">
        <v>1030</v>
      </c>
      <c r="F75" s="56" t="s">
        <v>54</v>
      </c>
      <c r="G75" s="56">
        <v>1231</v>
      </c>
      <c r="H75" s="57">
        <v>17380</v>
      </c>
      <c r="I75" s="54">
        <v>1</v>
      </c>
      <c r="J75" s="54" t="s">
        <v>850</v>
      </c>
      <c r="K75" s="54" t="s">
        <v>978</v>
      </c>
      <c r="L75" s="371" t="s">
        <v>2116</v>
      </c>
      <c r="M75" s="54" t="s">
        <v>970</v>
      </c>
      <c r="N75" s="54">
        <v>1</v>
      </c>
      <c r="O75" s="54">
        <v>1</v>
      </c>
      <c r="P75" s="54">
        <v>0</v>
      </c>
      <c r="Q75" s="63" t="s">
        <v>1371</v>
      </c>
    </row>
    <row r="76" spans="1:19" s="55" customFormat="1" ht="37.5" x14ac:dyDescent="0.25">
      <c r="A76" s="66">
        <v>73</v>
      </c>
      <c r="B76" s="616"/>
      <c r="C76" s="56" t="s">
        <v>979</v>
      </c>
      <c r="D76" s="54">
        <v>1</v>
      </c>
      <c r="E76" s="82" t="s">
        <v>1049</v>
      </c>
      <c r="F76" s="56" t="s">
        <v>54</v>
      </c>
      <c r="G76" s="56" t="s">
        <v>1050</v>
      </c>
      <c r="H76" s="57">
        <v>17380</v>
      </c>
      <c r="I76" s="54">
        <v>1</v>
      </c>
      <c r="J76" s="54" t="s">
        <v>850</v>
      </c>
      <c r="K76" s="54" t="s">
        <v>980</v>
      </c>
      <c r="L76" s="371" t="s">
        <v>2117</v>
      </c>
      <c r="M76" s="54" t="s">
        <v>970</v>
      </c>
      <c r="N76" s="54">
        <v>1</v>
      </c>
      <c r="O76" s="54">
        <v>1</v>
      </c>
      <c r="P76" s="54">
        <v>0</v>
      </c>
      <c r="Q76" s="63" t="s">
        <v>1371</v>
      </c>
    </row>
    <row r="77" spans="1:19" ht="25.5" customHeight="1" x14ac:dyDescent="0.3">
      <c r="A77" s="75"/>
      <c r="B77" s="76"/>
      <c r="C77" s="77"/>
      <c r="D77" s="78">
        <f>SUM(D4:D76)</f>
        <v>148</v>
      </c>
      <c r="E77" s="77"/>
      <c r="F77" s="77"/>
      <c r="G77" s="77"/>
      <c r="H77" s="75"/>
      <c r="I77" s="79">
        <f>SUM(I4:I76)</f>
        <v>148</v>
      </c>
      <c r="J77" s="75"/>
      <c r="K77" s="75"/>
      <c r="L77" s="389"/>
      <c r="M77" s="75"/>
      <c r="N77" s="75"/>
      <c r="O77" s="75"/>
      <c r="P77" s="75"/>
      <c r="Q77" s="75"/>
    </row>
    <row r="78" spans="1:19" ht="65.25" customHeight="1" x14ac:dyDescent="0.3"/>
  </sheetData>
  <mergeCells count="38">
    <mergeCell ref="Q2:Q3"/>
    <mergeCell ref="A1:Q1"/>
    <mergeCell ref="A2:A3"/>
    <mergeCell ref="C2:C3"/>
    <mergeCell ref="D2:D3"/>
    <mergeCell ref="E2:E3"/>
    <mergeCell ref="F2:F3"/>
    <mergeCell ref="G2:G3"/>
    <mergeCell ref="H2:H3"/>
    <mergeCell ref="I2:K2"/>
    <mergeCell ref="M2:M3"/>
    <mergeCell ref="N2:N3"/>
    <mergeCell ref="O2:O3"/>
    <mergeCell ref="P2:P3"/>
    <mergeCell ref="B4:B7"/>
    <mergeCell ref="C4:C5"/>
    <mergeCell ref="H4:H5"/>
    <mergeCell ref="E20:E21"/>
    <mergeCell ref="F20:F21"/>
    <mergeCell ref="G20:G21"/>
    <mergeCell ref="D4:D5"/>
    <mergeCell ref="E4:E5"/>
    <mergeCell ref="F4:F5"/>
    <mergeCell ref="B16:B19"/>
    <mergeCell ref="B20:B29"/>
    <mergeCell ref="H25:H26"/>
    <mergeCell ref="B11:B13"/>
    <mergeCell ref="B30:B34"/>
    <mergeCell ref="G66:G67"/>
    <mergeCell ref="D66:D67"/>
    <mergeCell ref="E25:E26"/>
    <mergeCell ref="F25:F26"/>
    <mergeCell ref="G25:G26"/>
    <mergeCell ref="B74:B76"/>
    <mergeCell ref="B69:B72"/>
    <mergeCell ref="B66:B67"/>
    <mergeCell ref="E66:E67"/>
    <mergeCell ref="F66:F6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8" fitToHeight="0" orientation="landscape" r:id="rId1"/>
  <rowBreaks count="2" manualBreakCount="2">
    <brk id="29" max="15" man="1"/>
    <brk id="62" max="15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zoomScale="80" zoomScaleNormal="80" workbookViewId="0">
      <selection activeCell="V30" sqref="V30"/>
    </sheetView>
  </sheetViews>
  <sheetFormatPr defaultRowHeight="18.75" x14ac:dyDescent="0.3"/>
  <cols>
    <col min="1" max="1" width="9.42578125" style="27" customWidth="1"/>
    <col min="2" max="2" width="21.7109375" style="43" customWidth="1"/>
    <col min="3" max="3" width="76" style="46" customWidth="1"/>
    <col min="4" max="4" width="7.5703125" style="27" customWidth="1"/>
    <col min="5" max="5" width="7.7109375" style="27" customWidth="1"/>
    <col min="6" max="6" width="13.42578125" style="27" customWidth="1"/>
    <col min="7" max="7" width="44.28515625" style="50" customWidth="1"/>
    <col min="8" max="8" width="21.28515625" style="27" customWidth="1"/>
    <col min="9" max="16384" width="9.140625" style="27"/>
  </cols>
  <sheetData>
    <row r="1" spans="1:8" ht="21" x14ac:dyDescent="0.35">
      <c r="A1" s="633" t="s">
        <v>1875</v>
      </c>
      <c r="B1" s="633"/>
      <c r="C1" s="633"/>
      <c r="D1" s="633"/>
      <c r="E1" s="633"/>
      <c r="F1" s="633"/>
      <c r="G1" s="633"/>
      <c r="H1" s="633"/>
    </row>
    <row r="2" spans="1:8" ht="15" customHeight="1" x14ac:dyDescent="0.3">
      <c r="A2" s="634" t="s">
        <v>0</v>
      </c>
      <c r="B2" s="634"/>
      <c r="C2" s="598" t="s">
        <v>1</v>
      </c>
      <c r="D2" s="634" t="s">
        <v>2</v>
      </c>
      <c r="E2" s="635" t="s">
        <v>9</v>
      </c>
      <c r="F2" s="635"/>
      <c r="G2" s="635"/>
      <c r="H2" s="636" t="s">
        <v>1876</v>
      </c>
    </row>
    <row r="3" spans="1:8" ht="35.25" customHeight="1" x14ac:dyDescent="0.3">
      <c r="A3" s="634"/>
      <c r="B3" s="634"/>
      <c r="C3" s="598"/>
      <c r="D3" s="634"/>
      <c r="E3" s="28" t="s">
        <v>11</v>
      </c>
      <c r="F3" s="28" t="s">
        <v>676</v>
      </c>
      <c r="G3" s="28" t="s">
        <v>12</v>
      </c>
      <c r="H3" s="636"/>
    </row>
    <row r="4" spans="1:8" s="33" customFormat="1" ht="24.75" customHeight="1" x14ac:dyDescent="0.25">
      <c r="A4" s="29">
        <v>1</v>
      </c>
      <c r="B4" s="631" t="s">
        <v>1471</v>
      </c>
      <c r="C4" s="30" t="s">
        <v>1472</v>
      </c>
      <c r="D4" s="31">
        <v>33</v>
      </c>
      <c r="E4" s="31">
        <v>33</v>
      </c>
      <c r="F4" s="31" t="s">
        <v>876</v>
      </c>
      <c r="G4" s="31" t="s">
        <v>221</v>
      </c>
      <c r="H4" s="32" t="s">
        <v>1477</v>
      </c>
    </row>
    <row r="5" spans="1:8" s="33" customFormat="1" ht="24.75" customHeight="1" x14ac:dyDescent="0.25">
      <c r="A5" s="29">
        <v>2</v>
      </c>
      <c r="B5" s="631"/>
      <c r="C5" s="30" t="s">
        <v>1473</v>
      </c>
      <c r="D5" s="31">
        <v>27</v>
      </c>
      <c r="E5" s="31">
        <v>27</v>
      </c>
      <c r="F5" s="31" t="s">
        <v>876</v>
      </c>
      <c r="G5" s="31" t="s">
        <v>221</v>
      </c>
      <c r="H5" s="32" t="s">
        <v>1477</v>
      </c>
    </row>
    <row r="6" spans="1:8" s="33" customFormat="1" ht="24.75" customHeight="1" x14ac:dyDescent="0.25">
      <c r="A6" s="29">
        <v>3</v>
      </c>
      <c r="B6" s="40" t="s">
        <v>767</v>
      </c>
      <c r="C6" s="30" t="s">
        <v>1474</v>
      </c>
      <c r="D6" s="31">
        <v>1</v>
      </c>
      <c r="E6" s="31">
        <v>1</v>
      </c>
      <c r="F6" s="31" t="s">
        <v>876</v>
      </c>
      <c r="G6" s="31" t="s">
        <v>221</v>
      </c>
      <c r="H6" s="32" t="s">
        <v>1477</v>
      </c>
    </row>
    <row r="7" spans="1:8" s="33" customFormat="1" ht="24.75" customHeight="1" x14ac:dyDescent="0.25">
      <c r="A7" s="29">
        <v>4</v>
      </c>
      <c r="B7" s="632" t="s">
        <v>1442</v>
      </c>
      <c r="C7" s="30" t="s">
        <v>1475</v>
      </c>
      <c r="D7" s="31">
        <v>1</v>
      </c>
      <c r="E7" s="31">
        <v>1</v>
      </c>
      <c r="F7" s="31" t="s">
        <v>876</v>
      </c>
      <c r="G7" s="31" t="s">
        <v>1476</v>
      </c>
      <c r="H7" s="32" t="s">
        <v>1477</v>
      </c>
    </row>
    <row r="8" spans="1:8" s="33" customFormat="1" ht="24.75" customHeight="1" x14ac:dyDescent="0.25">
      <c r="A8" s="29">
        <v>5</v>
      </c>
      <c r="B8" s="632"/>
      <c r="C8" s="30" t="s">
        <v>1475</v>
      </c>
      <c r="D8" s="31">
        <v>1</v>
      </c>
      <c r="E8" s="31">
        <v>1</v>
      </c>
      <c r="F8" s="31" t="s">
        <v>876</v>
      </c>
      <c r="G8" s="31" t="s">
        <v>1485</v>
      </c>
      <c r="H8" s="32" t="s">
        <v>1477</v>
      </c>
    </row>
    <row r="9" spans="1:8" s="33" customFormat="1" ht="24.75" customHeight="1" x14ac:dyDescent="0.25">
      <c r="A9" s="29">
        <v>6</v>
      </c>
      <c r="B9" s="632"/>
      <c r="C9" s="30" t="s">
        <v>1480</v>
      </c>
      <c r="D9" s="31">
        <v>1</v>
      </c>
      <c r="E9" s="31">
        <v>1</v>
      </c>
      <c r="F9" s="31" t="s">
        <v>876</v>
      </c>
      <c r="G9" s="31" t="s">
        <v>1481</v>
      </c>
      <c r="H9" s="32" t="s">
        <v>1477</v>
      </c>
    </row>
    <row r="10" spans="1:8" s="33" customFormat="1" ht="24.75" customHeight="1" x14ac:dyDescent="0.25">
      <c r="A10" s="29">
        <v>7</v>
      </c>
      <c r="B10" s="632"/>
      <c r="C10" s="34" t="s">
        <v>1478</v>
      </c>
      <c r="D10" s="31">
        <v>1</v>
      </c>
      <c r="E10" s="31">
        <v>1</v>
      </c>
      <c r="F10" s="31" t="s">
        <v>876</v>
      </c>
      <c r="G10" s="31" t="s">
        <v>1479</v>
      </c>
      <c r="H10" s="32" t="s">
        <v>1477</v>
      </c>
    </row>
    <row r="11" spans="1:8" s="33" customFormat="1" ht="24.75" customHeight="1" x14ac:dyDescent="0.25">
      <c r="A11" s="29">
        <v>8</v>
      </c>
      <c r="B11" s="632"/>
      <c r="C11" s="30" t="s">
        <v>1482</v>
      </c>
      <c r="D11" s="31">
        <v>1</v>
      </c>
      <c r="E11" s="31">
        <v>1</v>
      </c>
      <c r="F11" s="31" t="s">
        <v>876</v>
      </c>
      <c r="G11" s="31" t="s">
        <v>1483</v>
      </c>
      <c r="H11" s="32" t="s">
        <v>1477</v>
      </c>
    </row>
    <row r="12" spans="1:8" s="33" customFormat="1" ht="24.75" customHeight="1" x14ac:dyDescent="0.25">
      <c r="A12" s="29">
        <v>9</v>
      </c>
      <c r="B12" s="632"/>
      <c r="C12" s="30" t="s">
        <v>1484</v>
      </c>
      <c r="D12" s="31">
        <v>1</v>
      </c>
      <c r="E12" s="31">
        <v>1</v>
      </c>
      <c r="F12" s="31" t="s">
        <v>876</v>
      </c>
      <c r="G12" s="31" t="s">
        <v>1486</v>
      </c>
      <c r="H12" s="32" t="s">
        <v>1477</v>
      </c>
    </row>
    <row r="13" spans="1:8" s="33" customFormat="1" ht="24.75" customHeight="1" x14ac:dyDescent="0.25">
      <c r="A13" s="29">
        <v>10</v>
      </c>
      <c r="B13" s="632"/>
      <c r="C13" s="637" t="s">
        <v>1487</v>
      </c>
      <c r="D13" s="638">
        <v>2</v>
      </c>
      <c r="E13" s="31">
        <v>1</v>
      </c>
      <c r="F13" s="31" t="s">
        <v>876</v>
      </c>
      <c r="G13" s="31" t="s">
        <v>1488</v>
      </c>
      <c r="H13" s="32" t="s">
        <v>1477</v>
      </c>
    </row>
    <row r="14" spans="1:8" s="33" customFormat="1" ht="24.75" customHeight="1" x14ac:dyDescent="0.25">
      <c r="A14" s="29">
        <v>11</v>
      </c>
      <c r="B14" s="632"/>
      <c r="C14" s="637"/>
      <c r="D14" s="638"/>
      <c r="E14" s="31">
        <v>1</v>
      </c>
      <c r="F14" s="31" t="s">
        <v>876</v>
      </c>
      <c r="G14" s="31" t="s">
        <v>1489</v>
      </c>
      <c r="H14" s="32" t="s">
        <v>1477</v>
      </c>
    </row>
    <row r="15" spans="1:8" s="33" customFormat="1" ht="24.75" customHeight="1" x14ac:dyDescent="0.25">
      <c r="A15" s="29">
        <v>12</v>
      </c>
      <c r="B15" s="632"/>
      <c r="C15" s="30" t="s">
        <v>1491</v>
      </c>
      <c r="D15" s="31">
        <v>1</v>
      </c>
      <c r="E15" s="31">
        <v>1</v>
      </c>
      <c r="F15" s="31" t="s">
        <v>876</v>
      </c>
      <c r="G15" s="31" t="s">
        <v>1490</v>
      </c>
      <c r="H15" s="32" t="s">
        <v>1477</v>
      </c>
    </row>
    <row r="16" spans="1:8" s="33" customFormat="1" ht="24.75" customHeight="1" x14ac:dyDescent="0.25">
      <c r="A16" s="29">
        <v>13</v>
      </c>
      <c r="B16" s="632"/>
      <c r="C16" s="30" t="s">
        <v>1492</v>
      </c>
      <c r="D16" s="31">
        <v>1</v>
      </c>
      <c r="E16" s="31">
        <v>1</v>
      </c>
      <c r="F16" s="31" t="s">
        <v>876</v>
      </c>
      <c r="G16" s="31" t="s">
        <v>1493</v>
      </c>
      <c r="H16" s="32" t="s">
        <v>1477</v>
      </c>
    </row>
    <row r="17" spans="1:8" s="33" customFormat="1" ht="24.75" customHeight="1" x14ac:dyDescent="0.25">
      <c r="A17" s="29">
        <v>14</v>
      </c>
      <c r="B17" s="632"/>
      <c r="C17" s="30" t="s">
        <v>1494</v>
      </c>
      <c r="D17" s="31">
        <v>1</v>
      </c>
      <c r="E17" s="31">
        <v>1</v>
      </c>
      <c r="F17" s="31" t="s">
        <v>876</v>
      </c>
      <c r="G17" s="31" t="s">
        <v>1495</v>
      </c>
      <c r="H17" s="32" t="s">
        <v>1477</v>
      </c>
    </row>
    <row r="18" spans="1:8" s="33" customFormat="1" ht="24.75" customHeight="1" x14ac:dyDescent="0.25">
      <c r="A18" s="29">
        <v>15</v>
      </c>
      <c r="B18" s="632"/>
      <c r="C18" s="30" t="s">
        <v>1496</v>
      </c>
      <c r="D18" s="31">
        <v>1</v>
      </c>
      <c r="E18" s="31">
        <v>1</v>
      </c>
      <c r="F18" s="31" t="s">
        <v>876</v>
      </c>
      <c r="G18" s="31" t="s">
        <v>1497</v>
      </c>
      <c r="H18" s="32" t="s">
        <v>1477</v>
      </c>
    </row>
    <row r="19" spans="1:8" s="33" customFormat="1" ht="24.75" customHeight="1" x14ac:dyDescent="0.25">
      <c r="A19" s="29">
        <v>16</v>
      </c>
      <c r="B19" s="632"/>
      <c r="C19" s="30" t="s">
        <v>1498</v>
      </c>
      <c r="D19" s="31">
        <v>1</v>
      </c>
      <c r="E19" s="31">
        <v>1</v>
      </c>
      <c r="F19" s="31" t="s">
        <v>876</v>
      </c>
      <c r="G19" s="31" t="s">
        <v>1499</v>
      </c>
      <c r="H19" s="32" t="s">
        <v>1477</v>
      </c>
    </row>
    <row r="20" spans="1:8" s="33" customFormat="1" ht="24.75" customHeight="1" x14ac:dyDescent="0.25">
      <c r="A20" s="29">
        <v>17</v>
      </c>
      <c r="B20" s="632"/>
      <c r="C20" s="30" t="s">
        <v>1500</v>
      </c>
      <c r="D20" s="31">
        <v>1</v>
      </c>
      <c r="E20" s="31">
        <v>1</v>
      </c>
      <c r="F20" s="31" t="s">
        <v>876</v>
      </c>
      <c r="G20" s="31" t="s">
        <v>1501</v>
      </c>
      <c r="H20" s="32" t="s">
        <v>1477</v>
      </c>
    </row>
    <row r="21" spans="1:8" s="33" customFormat="1" ht="24.75" customHeight="1" x14ac:dyDescent="0.25">
      <c r="A21" s="29">
        <v>18</v>
      </c>
      <c r="B21" s="632"/>
      <c r="C21" s="34" t="s">
        <v>1502</v>
      </c>
      <c r="D21" s="31">
        <v>1</v>
      </c>
      <c r="E21" s="31">
        <v>1</v>
      </c>
      <c r="F21" s="31" t="s">
        <v>876</v>
      </c>
      <c r="G21" s="31" t="s">
        <v>1503</v>
      </c>
      <c r="H21" s="32" t="s">
        <v>1477</v>
      </c>
    </row>
    <row r="22" spans="1:8" s="33" customFormat="1" ht="24.75" customHeight="1" x14ac:dyDescent="0.25">
      <c r="A22" s="29">
        <v>19</v>
      </c>
      <c r="B22" s="632"/>
      <c r="C22" s="34" t="s">
        <v>1506</v>
      </c>
      <c r="D22" s="31">
        <v>1</v>
      </c>
      <c r="E22" s="31">
        <v>1</v>
      </c>
      <c r="F22" s="31" t="s">
        <v>876</v>
      </c>
      <c r="G22" s="31" t="s">
        <v>221</v>
      </c>
      <c r="H22" s="32" t="s">
        <v>1477</v>
      </c>
    </row>
    <row r="23" spans="1:8" s="33" customFormat="1" ht="24.75" customHeight="1" x14ac:dyDescent="0.25">
      <c r="A23" s="29">
        <v>20</v>
      </c>
      <c r="B23" s="632"/>
      <c r="C23" s="34" t="s">
        <v>1507</v>
      </c>
      <c r="D23" s="31">
        <v>32</v>
      </c>
      <c r="E23" s="31">
        <v>32</v>
      </c>
      <c r="F23" s="31" t="s">
        <v>876</v>
      </c>
      <c r="G23" s="31" t="s">
        <v>221</v>
      </c>
      <c r="H23" s="32" t="s">
        <v>1477</v>
      </c>
    </row>
    <row r="24" spans="1:8" s="33" customFormat="1" ht="24.75" customHeight="1" x14ac:dyDescent="0.25">
      <c r="A24" s="29">
        <v>21</v>
      </c>
      <c r="B24" s="632"/>
      <c r="C24" s="34" t="s">
        <v>1508</v>
      </c>
      <c r="D24" s="31">
        <v>19</v>
      </c>
      <c r="E24" s="31">
        <v>19</v>
      </c>
      <c r="F24" s="31" t="s">
        <v>876</v>
      </c>
      <c r="G24" s="31" t="s">
        <v>221</v>
      </c>
      <c r="H24" s="32" t="s">
        <v>1477</v>
      </c>
    </row>
    <row r="25" spans="1:8" s="33" customFormat="1" ht="24.75" customHeight="1" x14ac:dyDescent="0.25">
      <c r="A25" s="29">
        <v>22</v>
      </c>
      <c r="B25" s="632"/>
      <c r="C25" s="34" t="s">
        <v>1509</v>
      </c>
      <c r="D25" s="31">
        <v>1</v>
      </c>
      <c r="E25" s="31">
        <v>1</v>
      </c>
      <c r="F25" s="31" t="s">
        <v>876</v>
      </c>
      <c r="G25" s="31" t="s">
        <v>221</v>
      </c>
      <c r="H25" s="32" t="s">
        <v>1477</v>
      </c>
    </row>
    <row r="26" spans="1:8" s="33" customFormat="1" ht="24.75" customHeight="1" x14ac:dyDescent="0.25">
      <c r="A26" s="29">
        <v>23</v>
      </c>
      <c r="B26" s="632"/>
      <c r="C26" s="34" t="s">
        <v>1510</v>
      </c>
      <c r="D26" s="31">
        <v>1</v>
      </c>
      <c r="E26" s="31">
        <v>1</v>
      </c>
      <c r="F26" s="31" t="s">
        <v>876</v>
      </c>
      <c r="G26" s="31" t="s">
        <v>221</v>
      </c>
      <c r="H26" s="32" t="s">
        <v>1477</v>
      </c>
    </row>
    <row r="27" spans="1:8" s="33" customFormat="1" ht="56.25" x14ac:dyDescent="0.25">
      <c r="A27" s="29">
        <v>24</v>
      </c>
      <c r="B27" s="632"/>
      <c r="C27" s="34" t="s">
        <v>1511</v>
      </c>
      <c r="D27" s="31">
        <v>3</v>
      </c>
      <c r="E27" s="31">
        <v>3</v>
      </c>
      <c r="F27" s="31" t="s">
        <v>876</v>
      </c>
      <c r="G27" s="35" t="s">
        <v>1512</v>
      </c>
      <c r="H27" s="32" t="s">
        <v>1477</v>
      </c>
    </row>
    <row r="28" spans="1:8" s="33" customFormat="1" ht="24.75" customHeight="1" x14ac:dyDescent="0.25">
      <c r="A28" s="29">
        <v>25</v>
      </c>
      <c r="B28" s="632"/>
      <c r="C28" s="34" t="s">
        <v>1513</v>
      </c>
      <c r="D28" s="31">
        <v>1</v>
      </c>
      <c r="E28" s="31">
        <v>1</v>
      </c>
      <c r="F28" s="31" t="s">
        <v>876</v>
      </c>
      <c r="G28" s="35" t="s">
        <v>1514</v>
      </c>
      <c r="H28" s="32" t="s">
        <v>1477</v>
      </c>
    </row>
    <row r="29" spans="1:8" s="33" customFormat="1" ht="24.75" customHeight="1" x14ac:dyDescent="0.25">
      <c r="A29" s="29">
        <v>26</v>
      </c>
      <c r="B29" s="40" t="s">
        <v>1515</v>
      </c>
      <c r="C29" s="34" t="s">
        <v>1504</v>
      </c>
      <c r="D29" s="31">
        <v>1</v>
      </c>
      <c r="E29" s="31">
        <v>1</v>
      </c>
      <c r="F29" s="31" t="s">
        <v>876</v>
      </c>
      <c r="G29" s="31" t="s">
        <v>1505</v>
      </c>
      <c r="H29" s="32" t="s">
        <v>1477</v>
      </c>
    </row>
    <row r="30" spans="1:8" s="33" customFormat="1" ht="24.75" customHeight="1" x14ac:dyDescent="0.25">
      <c r="A30" s="29">
        <v>27</v>
      </c>
      <c r="B30" s="641" t="s">
        <v>1516</v>
      </c>
      <c r="C30" s="644" t="s">
        <v>1517</v>
      </c>
      <c r="D30" s="642">
        <v>2</v>
      </c>
      <c r="E30" s="31">
        <v>1</v>
      </c>
      <c r="F30" s="31" t="s">
        <v>876</v>
      </c>
      <c r="G30" s="31" t="s">
        <v>1009</v>
      </c>
      <c r="H30" s="32" t="s">
        <v>1477</v>
      </c>
    </row>
    <row r="31" spans="1:8" s="33" customFormat="1" ht="24.75" customHeight="1" x14ac:dyDescent="0.25">
      <c r="A31" s="29">
        <v>28</v>
      </c>
      <c r="B31" s="641"/>
      <c r="C31" s="645"/>
      <c r="D31" s="643"/>
      <c r="E31" s="31">
        <v>1</v>
      </c>
      <c r="F31" s="31" t="s">
        <v>876</v>
      </c>
      <c r="G31" s="35" t="s">
        <v>1518</v>
      </c>
      <c r="H31" s="32" t="s">
        <v>1477</v>
      </c>
    </row>
    <row r="32" spans="1:8" s="33" customFormat="1" ht="24.75" customHeight="1" x14ac:dyDescent="0.25">
      <c r="A32" s="29">
        <v>29</v>
      </c>
      <c r="B32" s="641"/>
      <c r="C32" s="644" t="s">
        <v>1521</v>
      </c>
      <c r="D32" s="642">
        <v>2</v>
      </c>
      <c r="E32" s="31">
        <v>1</v>
      </c>
      <c r="F32" s="31" t="s">
        <v>876</v>
      </c>
      <c r="G32" s="35" t="s">
        <v>1519</v>
      </c>
      <c r="H32" s="32" t="s">
        <v>1477</v>
      </c>
    </row>
    <row r="33" spans="1:12" s="33" customFormat="1" ht="24.75" customHeight="1" x14ac:dyDescent="0.25">
      <c r="A33" s="29">
        <v>30</v>
      </c>
      <c r="B33" s="641"/>
      <c r="C33" s="645"/>
      <c r="D33" s="643"/>
      <c r="E33" s="31">
        <v>1</v>
      </c>
      <c r="F33" s="31" t="s">
        <v>876</v>
      </c>
      <c r="G33" s="35" t="s">
        <v>1520</v>
      </c>
      <c r="H33" s="32" t="s">
        <v>1477</v>
      </c>
    </row>
    <row r="34" spans="1:12" s="33" customFormat="1" ht="24.75" customHeight="1" x14ac:dyDescent="0.25">
      <c r="A34" s="29">
        <v>31</v>
      </c>
      <c r="B34" s="40" t="s">
        <v>1522</v>
      </c>
      <c r="C34" s="30" t="s">
        <v>1524</v>
      </c>
      <c r="D34" s="31">
        <v>1</v>
      </c>
      <c r="E34" s="31">
        <v>1</v>
      </c>
      <c r="F34" s="31" t="s">
        <v>876</v>
      </c>
      <c r="G34" s="31" t="s">
        <v>1523</v>
      </c>
      <c r="H34" s="32" t="s">
        <v>1477</v>
      </c>
    </row>
    <row r="35" spans="1:12" s="33" customFormat="1" ht="24.75" customHeight="1" x14ac:dyDescent="0.25">
      <c r="A35" s="29">
        <v>32</v>
      </c>
      <c r="B35" s="631" t="s">
        <v>1525</v>
      </c>
      <c r="C35" s="30" t="s">
        <v>1526</v>
      </c>
      <c r="D35" s="31">
        <v>1</v>
      </c>
      <c r="E35" s="31">
        <v>1</v>
      </c>
      <c r="F35" s="31" t="s">
        <v>876</v>
      </c>
      <c r="G35" s="31" t="s">
        <v>1527</v>
      </c>
      <c r="H35" s="32" t="s">
        <v>1477</v>
      </c>
    </row>
    <row r="36" spans="1:12" s="33" customFormat="1" ht="24.75" customHeight="1" x14ac:dyDescent="0.25">
      <c r="A36" s="29">
        <v>33</v>
      </c>
      <c r="B36" s="631"/>
      <c r="C36" s="30" t="s">
        <v>1528</v>
      </c>
      <c r="D36" s="31">
        <v>2</v>
      </c>
      <c r="E36" s="31">
        <v>2</v>
      </c>
      <c r="F36" s="31" t="s">
        <v>876</v>
      </c>
      <c r="G36" s="29" t="s">
        <v>1531</v>
      </c>
      <c r="H36" s="32" t="s">
        <v>1477</v>
      </c>
    </row>
    <row r="37" spans="1:12" s="33" customFormat="1" ht="24.75" customHeight="1" x14ac:dyDescent="0.25">
      <c r="A37" s="29">
        <v>34</v>
      </c>
      <c r="B37" s="631"/>
      <c r="C37" s="30" t="s">
        <v>1529</v>
      </c>
      <c r="D37" s="31">
        <v>1</v>
      </c>
      <c r="E37" s="31">
        <v>1</v>
      </c>
      <c r="F37" s="31" t="s">
        <v>876</v>
      </c>
      <c r="G37" s="31" t="s">
        <v>1530</v>
      </c>
      <c r="H37" s="32" t="s">
        <v>1477</v>
      </c>
    </row>
    <row r="38" spans="1:12" s="33" customFormat="1" ht="37.5" x14ac:dyDescent="0.25">
      <c r="A38" s="29">
        <v>35</v>
      </c>
      <c r="B38" s="640" t="s">
        <v>1532</v>
      </c>
      <c r="C38" s="44" t="s">
        <v>1533</v>
      </c>
      <c r="D38" s="31">
        <v>5</v>
      </c>
      <c r="E38" s="31">
        <v>5</v>
      </c>
      <c r="F38" s="31" t="s">
        <v>876</v>
      </c>
      <c r="G38" s="48" t="s">
        <v>1539</v>
      </c>
      <c r="H38" s="32" t="s">
        <v>1477</v>
      </c>
    </row>
    <row r="39" spans="1:12" s="33" customFormat="1" ht="37.5" x14ac:dyDescent="0.25">
      <c r="A39" s="29">
        <v>36</v>
      </c>
      <c r="B39" s="640"/>
      <c r="C39" s="44" t="s">
        <v>1534</v>
      </c>
      <c r="D39" s="31">
        <v>2</v>
      </c>
      <c r="E39" s="31">
        <v>2</v>
      </c>
      <c r="F39" s="31" t="s">
        <v>876</v>
      </c>
      <c r="G39" s="48" t="s">
        <v>1540</v>
      </c>
      <c r="H39" s="32" t="s">
        <v>1477</v>
      </c>
    </row>
    <row r="40" spans="1:12" s="33" customFormat="1" ht="37.5" x14ac:dyDescent="0.25">
      <c r="A40" s="29">
        <v>37</v>
      </c>
      <c r="B40" s="640"/>
      <c r="C40" s="44" t="s">
        <v>1535</v>
      </c>
      <c r="D40" s="31">
        <v>2</v>
      </c>
      <c r="E40" s="31">
        <v>2</v>
      </c>
      <c r="F40" s="31" t="s">
        <v>876</v>
      </c>
      <c r="G40" s="48" t="s">
        <v>1541</v>
      </c>
      <c r="H40" s="32" t="s">
        <v>1477</v>
      </c>
    </row>
    <row r="41" spans="1:12" s="33" customFormat="1" x14ac:dyDescent="0.25">
      <c r="A41" s="29">
        <v>38</v>
      </c>
      <c r="B41" s="640"/>
      <c r="C41" s="44" t="s">
        <v>1536</v>
      </c>
      <c r="D41" s="31">
        <v>2</v>
      </c>
      <c r="E41" s="31">
        <v>2</v>
      </c>
      <c r="F41" s="31" t="s">
        <v>876</v>
      </c>
      <c r="G41" s="48" t="s">
        <v>1542</v>
      </c>
      <c r="H41" s="32" t="s">
        <v>1477</v>
      </c>
    </row>
    <row r="42" spans="1:12" s="33" customFormat="1" x14ac:dyDescent="0.25">
      <c r="A42" s="29">
        <v>39</v>
      </c>
      <c r="B42" s="640"/>
      <c r="C42" s="44" t="s">
        <v>1537</v>
      </c>
      <c r="D42" s="31">
        <v>1</v>
      </c>
      <c r="E42" s="31">
        <v>1</v>
      </c>
      <c r="F42" s="31" t="s">
        <v>876</v>
      </c>
      <c r="G42" s="48">
        <v>651</v>
      </c>
      <c r="H42" s="32" t="s">
        <v>1477</v>
      </c>
    </row>
    <row r="43" spans="1:12" s="33" customFormat="1" ht="37.5" x14ac:dyDescent="0.25">
      <c r="A43" s="29">
        <v>40</v>
      </c>
      <c r="B43" s="640"/>
      <c r="C43" s="44" t="s">
        <v>1538</v>
      </c>
      <c r="D43" s="31">
        <v>2</v>
      </c>
      <c r="E43" s="31">
        <v>2</v>
      </c>
      <c r="F43" s="31" t="s">
        <v>876</v>
      </c>
      <c r="G43" s="48" t="s">
        <v>1543</v>
      </c>
      <c r="H43" s="32" t="s">
        <v>1477</v>
      </c>
    </row>
    <row r="44" spans="1:12" s="33" customFormat="1" ht="28.5" customHeight="1" x14ac:dyDescent="0.25">
      <c r="A44" s="29">
        <v>41</v>
      </c>
      <c r="B44" s="646" t="s">
        <v>1903</v>
      </c>
      <c r="C44" s="44" t="s">
        <v>1902</v>
      </c>
      <c r="D44" s="209">
        <v>5</v>
      </c>
      <c r="E44" s="209">
        <v>5</v>
      </c>
      <c r="F44" s="209" t="s">
        <v>876</v>
      </c>
      <c r="G44" s="206" t="s">
        <v>221</v>
      </c>
      <c r="H44" s="32" t="s">
        <v>1477</v>
      </c>
    </row>
    <row r="45" spans="1:12" s="33" customFormat="1" x14ac:dyDescent="0.25">
      <c r="A45" s="29">
        <v>42</v>
      </c>
      <c r="B45" s="647"/>
      <c r="C45" s="44"/>
      <c r="D45" s="209">
        <v>4</v>
      </c>
      <c r="E45" s="209">
        <v>4</v>
      </c>
      <c r="F45" s="209" t="s">
        <v>852</v>
      </c>
      <c r="G45" s="206" t="s">
        <v>221</v>
      </c>
      <c r="H45" s="32" t="s">
        <v>1477</v>
      </c>
    </row>
    <row r="46" spans="1:12" s="33" customFormat="1" x14ac:dyDescent="0.25">
      <c r="A46" s="29">
        <v>43</v>
      </c>
      <c r="B46" s="208" t="s">
        <v>1889</v>
      </c>
      <c r="C46" s="44" t="s">
        <v>1890</v>
      </c>
      <c r="D46" s="209" t="s">
        <v>1891</v>
      </c>
      <c r="E46" s="209" t="s">
        <v>1891</v>
      </c>
      <c r="F46" s="209" t="s">
        <v>876</v>
      </c>
      <c r="G46" s="206" t="s">
        <v>221</v>
      </c>
      <c r="H46" s="32" t="s">
        <v>1477</v>
      </c>
    </row>
    <row r="47" spans="1:12" s="43" customFormat="1" ht="24.75" customHeight="1" x14ac:dyDescent="0.3">
      <c r="A47" s="212"/>
      <c r="B47" s="212"/>
      <c r="C47" s="213"/>
      <c r="D47" s="214">
        <f>SUM(D4:D45)</f>
        <v>167</v>
      </c>
      <c r="E47" s="214">
        <f>SUM(E4:E45)</f>
        <v>167</v>
      </c>
      <c r="F47" s="212"/>
      <c r="G47" s="215"/>
      <c r="H47" s="212"/>
    </row>
    <row r="48" spans="1:12" x14ac:dyDescent="0.3">
      <c r="A48" s="37"/>
      <c r="B48" s="41"/>
      <c r="D48" s="37"/>
      <c r="E48" s="37"/>
      <c r="F48" s="37"/>
      <c r="G48" s="49"/>
      <c r="H48" s="38"/>
      <c r="K48" s="39"/>
      <c r="L48" s="39"/>
    </row>
    <row r="49" spans="1:8" x14ac:dyDescent="0.3">
      <c r="A49" s="639" t="s">
        <v>1869</v>
      </c>
      <c r="B49" s="639"/>
      <c r="C49" s="47"/>
      <c r="D49" s="39"/>
      <c r="E49" s="39"/>
      <c r="F49" s="39"/>
      <c r="H49" s="38"/>
    </row>
    <row r="50" spans="1:8" x14ac:dyDescent="0.3">
      <c r="A50" s="39"/>
      <c r="B50" s="42"/>
      <c r="C50" s="47"/>
      <c r="D50" s="39"/>
      <c r="E50" s="39"/>
      <c r="F50" s="39"/>
      <c r="H50" s="39"/>
    </row>
  </sheetData>
  <mergeCells count="20">
    <mergeCell ref="A49:B49"/>
    <mergeCell ref="B38:B43"/>
    <mergeCell ref="B35:B37"/>
    <mergeCell ref="B30:B33"/>
    <mergeCell ref="D30:D31"/>
    <mergeCell ref="C30:C31"/>
    <mergeCell ref="C32:C33"/>
    <mergeCell ref="D32:D33"/>
    <mergeCell ref="B44:B45"/>
    <mergeCell ref="B4:B5"/>
    <mergeCell ref="B7:B28"/>
    <mergeCell ref="A1:H1"/>
    <mergeCell ref="A2:A3"/>
    <mergeCell ref="C2:C3"/>
    <mergeCell ref="D2:D3"/>
    <mergeCell ref="E2:G2"/>
    <mergeCell ref="H2:H3"/>
    <mergeCell ref="B2:B3"/>
    <mergeCell ref="C13:C14"/>
    <mergeCell ref="D13:D1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1" fitToHeight="0" orientation="landscape" r:id="rId1"/>
  <rowBreaks count="1" manualBreakCount="1">
    <brk id="27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First page</vt:lpstr>
      <vt:lpstr>Consolidated</vt:lpstr>
      <vt:lpstr>Building</vt:lpstr>
      <vt:lpstr>HSDC-Equipments</vt:lpstr>
      <vt:lpstr>Computers-peripherals</vt:lpstr>
      <vt:lpstr>Electrical-Equipments</vt:lpstr>
      <vt:lpstr>Office Equipments</vt:lpstr>
      <vt:lpstr>Furnitures-Fixtures-Misc</vt:lpstr>
      <vt:lpstr>Fire-Fighting</vt:lpstr>
      <vt:lpstr>not working  obsolute  </vt:lpstr>
      <vt:lpstr>Identified Obsolete 2025</vt:lpstr>
      <vt:lpstr>Building!Print_Area</vt:lpstr>
      <vt:lpstr>'Computers-peripherals'!Print_Area</vt:lpstr>
      <vt:lpstr>Consolidated!Print_Area</vt:lpstr>
      <vt:lpstr>'First page'!Print_Area</vt:lpstr>
      <vt:lpstr>'Furnitures-Fixtures-Misc'!Print_Area</vt:lpstr>
      <vt:lpstr>'HSDC-Equipments'!Print_Area</vt:lpstr>
      <vt:lpstr>'Identified Obsolete 2025'!Print_Area</vt:lpstr>
      <vt:lpstr>'not working  obsolute 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2025-12-17T11:40:04Z</dcterms:modified>
</cp:coreProperties>
</file>